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_Staging\excel-data-cleaning-powerquery\"/>
    </mc:Choice>
  </mc:AlternateContent>
  <xr:revisionPtr revIDLastSave="0" documentId="13_ncr:1_{EA0D7C87-10E9-49CC-B91F-0B7B2A398368}" xr6:coauthVersionLast="47" xr6:coauthVersionMax="47" xr10:uidLastSave="{00000000-0000-0000-0000-000000000000}"/>
  <bookViews>
    <workbookView xWindow="-120" yWindow="-120" windowWidth="29040" windowHeight="15720" activeTab="1" xr2:uid="{5285C626-313B-4FFF-976C-257F5E77F2E0}"/>
  </bookViews>
  <sheets>
    <sheet name="Sheet1" sheetId="1" r:id="rId1"/>
    <sheet name="Summary" sheetId="4" r:id="rId2"/>
    <sheet name="Clean_Data" sheetId="3" r:id="rId3"/>
    <sheet name="Mapping" sheetId="2" r:id="rId4"/>
  </sheets>
  <definedNames>
    <definedName name="ExternalData_1" localSheetId="2" hidden="1">Clean_Data!$A$1:$L$256</definedName>
    <definedName name="_xlnm.Print_Area" localSheetId="1">Summary!$A$1:$Q$50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7" i="4" l="1"/>
  <c r="G41" i="4"/>
  <c r="G35" i="4"/>
  <c r="F21" i="4"/>
  <c r="F31" i="4"/>
  <c r="E48" i="4"/>
  <c r="D48" i="4"/>
  <c r="D49" i="4"/>
  <c r="D47" i="4"/>
  <c r="C48" i="4"/>
  <c r="C49" i="4"/>
  <c r="E49" i="4" s="1"/>
  <c r="C47" i="4"/>
  <c r="E47" i="4" s="1"/>
  <c r="B48" i="4"/>
  <c r="B49" i="4"/>
  <c r="B47" i="4"/>
  <c r="A48" i="4" a="1"/>
  <c r="A48" i="4" s="1"/>
  <c r="A49" i="4" a="1"/>
  <c r="A49" i="4" s="1"/>
  <c r="A47" i="4" a="1"/>
  <c r="A47" i="4" s="1"/>
  <c r="D42" i="4"/>
  <c r="D43" i="4"/>
  <c r="C42" i="4"/>
  <c r="E42" i="4" s="1"/>
  <c r="C43" i="4"/>
  <c r="E43" i="4" s="1"/>
  <c r="B42" i="4"/>
  <c r="B43" i="4"/>
  <c r="E41" i="4"/>
  <c r="D41" i="4"/>
  <c r="C41" i="4"/>
  <c r="B41" i="4"/>
  <c r="A42" i="4" a="1"/>
  <c r="A42" i="4" s="1"/>
  <c r="A43" i="4" a="1"/>
  <c r="A43" i="4" s="1"/>
  <c r="A41" i="4" a="1"/>
  <c r="A41" i="4" s="1"/>
  <c r="E36" i="4"/>
  <c r="D36" i="4"/>
  <c r="D37" i="4"/>
  <c r="D35" i="4"/>
  <c r="C36" i="4"/>
  <c r="C37" i="4"/>
  <c r="E37" i="4" s="1"/>
  <c r="C35" i="4"/>
  <c r="E35" i="4" s="1"/>
  <c r="B36" i="4"/>
  <c r="B37" i="4"/>
  <c r="B35" i="4"/>
  <c r="A36" i="4" a="1"/>
  <c r="A36" i="4" s="1"/>
  <c r="A37" i="4" a="1"/>
  <c r="A37" i="4"/>
  <c r="A35" i="4" a="1"/>
  <c r="A35" i="4" s="1"/>
  <c r="D30" i="4"/>
  <c r="D31" i="4"/>
  <c r="D29" i="4"/>
  <c r="E29" i="4" s="1"/>
  <c r="C30" i="4"/>
  <c r="E30" i="4" s="1"/>
  <c r="C31" i="4"/>
  <c r="E31" i="4" s="1"/>
  <c r="C29" i="4"/>
  <c r="B30" i="4"/>
  <c r="F30" i="4" s="1"/>
  <c r="B31" i="4"/>
  <c r="B29" i="4"/>
  <c r="F29" i="4" s="1"/>
  <c r="A30" i="4" a="1"/>
  <c r="A30" i="4" s="1"/>
  <c r="A31" i="4" a="1"/>
  <c r="A31" i="4"/>
  <c r="A29" i="4" a="1"/>
  <c r="A29" i="4" s="1"/>
  <c r="E21" i="4"/>
  <c r="D22" i="4"/>
  <c r="D23" i="4"/>
  <c r="D24" i="4"/>
  <c r="D25" i="4"/>
  <c r="D26" i="4"/>
  <c r="D21" i="4"/>
  <c r="C22" i="4"/>
  <c r="E22" i="4" s="1"/>
  <c r="C23" i="4"/>
  <c r="E23" i="4" s="1"/>
  <c r="C24" i="4"/>
  <c r="E24" i="4" s="1"/>
  <c r="C25" i="4"/>
  <c r="E25" i="4" s="1"/>
  <c r="C26" i="4"/>
  <c r="E26" i="4" s="1"/>
  <c r="C21" i="4"/>
  <c r="B22" i="4"/>
  <c r="G21" i="4" s="1"/>
  <c r="B23" i="4"/>
  <c r="F23" i="4" s="1"/>
  <c r="B24" i="4"/>
  <c r="F24" i="4" s="1"/>
  <c r="B25" i="4"/>
  <c r="F25" i="4" s="1"/>
  <c r="B26" i="4"/>
  <c r="F26" i="4" s="1"/>
  <c r="B21" i="4"/>
  <c r="A23" i="4" a="1"/>
  <c r="A23" i="4" s="1"/>
  <c r="A24" i="4" a="1"/>
  <c r="A24" i="4"/>
  <c r="A25" i="4" a="1"/>
  <c r="A25" i="4" s="1"/>
  <c r="A26" i="4" a="1"/>
  <c r="A26" i="4"/>
  <c r="A22" i="4" a="1"/>
  <c r="A22" i="4" s="1"/>
  <c r="A21" i="4" a="1"/>
  <c r="A21" i="4" s="1"/>
  <c r="C17" i="4"/>
  <c r="B17" i="4"/>
  <c r="B16" i="4"/>
  <c r="B15" i="4"/>
  <c r="B12" i="4"/>
  <c r="B11" i="4" a="1"/>
  <c r="B11" i="4" s="1"/>
  <c r="B10" i="4"/>
  <c r="B9" i="4"/>
  <c r="B8" i="4"/>
  <c r="B7" i="4"/>
  <c r="B6" i="4"/>
  <c r="A3" i="4"/>
  <c r="A2" i="4"/>
  <c r="G29" i="4" l="1"/>
  <c r="F2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B5A59-C425-4F0E-830F-5FBF6831AB12}" keepAlive="1" name="Query - Fact_Welding" description="Connection to the 'Fact_Welding' query in the workbook." type="5" refreshedVersion="8" background="1" saveData="1">
    <dbPr connection="Provider=Microsoft.Mashup.OleDb.1;Data Source=$Workbook$;Location=Fact_Welding;Extended Properties=&quot;&quot;" command="SELECT * FROM [Fact_Welding]"/>
  </connection>
  <connection id="2" xr16:uid="{6899A121-E7AB-4D58-A944-0DD3783CCB78}" keepAlive="1" name="Query - Feb_2026" description="Connection to the 'Feb_2026' query in the workbook." type="5" refreshedVersion="0" background="1">
    <dbPr connection="Provider=Microsoft.Mashup.OleDb.1;Data Source=$Workbook$;Location=Feb_2026;Extended Properties=&quot;&quot;" command="SELECT * FROM [Feb_2026]"/>
  </connection>
  <connection id="3" xr16:uid="{61775751-A9BE-4E84-9FAC-1CAF327E2C16}" keepAlive="1" name="Query - Jan_2026" description="Connection to the 'Jan_2026' query in the workbook." type="5" refreshedVersion="0" background="1">
    <dbPr connection="Provider=Microsoft.Mashup.OleDb.1;Data Source=$Workbook$;Location=Jan_2026;Extended Properties=&quot;&quot;" command="SELECT * FROM [Jan_2026]"/>
  </connection>
  <connection id="4" xr16:uid="{309BDB9D-1652-4657-B8D5-00783C98DF82}" keepAlive="1" name="Query - Map_Contractor" description="Connection to the 'Map_Contractor' query in the workbook." type="5" refreshedVersion="0" background="1">
    <dbPr connection="Provider=Microsoft.Mashup.OleDb.1;Data Source=$Workbook$;Location=Map_Contractor;Extended Properties=&quot;&quot;" command="SELECT * FROM [Map_Contractor]"/>
  </connection>
  <connection id="5" xr16:uid="{C8ABBF6A-CA69-47AC-AE9B-EAA4870FDD66}" keepAlive="1" name="Query - Map_Shift" description="Connection to the 'Map_Shift' query in the workbook." type="5" refreshedVersion="0" background="1">
    <dbPr connection="Provider=Microsoft.Mashup.OleDb.1;Data Source=$Workbook$;Location=Map_Shift;Extended Properties=&quot;&quot;" command="SELECT * FROM [Map_Shift]"/>
  </connection>
  <connection id="6" xr16:uid="{C44D1D26-5CBC-46D6-BA03-395B0EAEBB91}" keepAlive="1" name="Query - Mar_2026" description="Connection to the 'Mar_2026' query in the workbook." type="5" refreshedVersion="0" background="1">
    <dbPr connection="Provider=Microsoft.Mashup.OleDb.1;Data Source=$Workbook$;Location=Mar_2026;Extended Properties=&quot;&quot;" command="SELECT * FROM [Mar_2026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<sst xmlns="http://schemas.openxmlformats.org/spreadsheetml/2006/main" count="1862" uniqueCount="316">
  <si>
    <t>Contractor_Raw</t>
  </si>
  <si>
    <t>Contractor_Clean</t>
  </si>
  <si>
    <t>Sai Fab Works</t>
  </si>
  <si>
    <t>Konark Engineering</t>
  </si>
  <si>
    <t>Konark Engg</t>
  </si>
  <si>
    <t>Konark Engineering Pvt Ltd</t>
  </si>
  <si>
    <t>Utkal Fabricators</t>
  </si>
  <si>
    <t>Utkal Fab</t>
  </si>
  <si>
    <t>Shift_Raw</t>
  </si>
  <si>
    <t>Shift_Clean</t>
  </si>
  <si>
    <t>Day</t>
  </si>
  <si>
    <t>Night</t>
  </si>
  <si>
    <t>General</t>
  </si>
  <si>
    <t>Gen</t>
  </si>
  <si>
    <t>DPR_Date</t>
  </si>
  <si>
    <t>Source_Month</t>
  </si>
  <si>
    <t>Contractor</t>
  </si>
  <si>
    <t>Welder_ID</t>
  </si>
  <si>
    <t>Area</t>
  </si>
  <si>
    <t>Shift</t>
  </si>
  <si>
    <t>Joint_Type</t>
  </si>
  <si>
    <t>Ref_Joint_No</t>
  </si>
  <si>
    <t>Total_Joints</t>
  </si>
  <si>
    <t>Rejected_Joints</t>
  </si>
  <si>
    <t>Rejected_Source</t>
  </si>
  <si>
    <t>Rework_Cost</t>
  </si>
  <si>
    <t>WLD-031</t>
  </si>
  <si>
    <t>Pipe Rack A</t>
  </si>
  <si>
    <t>Butt</t>
  </si>
  <si>
    <t>J-1693</t>
  </si>
  <si>
    <t>Recorded</t>
  </si>
  <si>
    <t>WLD-004</t>
  </si>
  <si>
    <t>Tank Farm</t>
  </si>
  <si>
    <t>Socket</t>
  </si>
  <si>
    <t>J-3216</t>
  </si>
  <si>
    <t>WLD-017</t>
  </si>
  <si>
    <t>Unit 3 Structure</t>
  </si>
  <si>
    <t>J-5617</t>
  </si>
  <si>
    <t>WLD-042</t>
  </si>
  <si>
    <t>J-2802</t>
  </si>
  <si>
    <t>J-8798</t>
  </si>
  <si>
    <t>Fillet</t>
  </si>
  <si>
    <t>J-1631</t>
  </si>
  <si>
    <t>J-2231</t>
  </si>
  <si>
    <t>J-4025</t>
  </si>
  <si>
    <t>WLD-011</t>
  </si>
  <si>
    <t>J-2339</t>
  </si>
  <si>
    <t>J-6846</t>
  </si>
  <si>
    <t>J-1017</t>
  </si>
  <si>
    <t>J-8931</t>
  </si>
  <si>
    <t>J-4048</t>
  </si>
  <si>
    <t>J-3521</t>
  </si>
  <si>
    <t>Blank</t>
  </si>
  <si>
    <t>J-4757</t>
  </si>
  <si>
    <t>J-3968</t>
  </si>
  <si>
    <t>J-6603</t>
  </si>
  <si>
    <t>J-5130</t>
  </si>
  <si>
    <t>J-5695</t>
  </si>
  <si>
    <t>J-4567</t>
  </si>
  <si>
    <t>WLD-023</t>
  </si>
  <si>
    <t>J-5713</t>
  </si>
  <si>
    <t>J-5764</t>
  </si>
  <si>
    <t>J-5535</t>
  </si>
  <si>
    <t>J-9253</t>
  </si>
  <si>
    <t>J-4342</t>
  </si>
  <si>
    <t>J-6906</t>
  </si>
  <si>
    <t>J-8755</t>
  </si>
  <si>
    <t>J-8571</t>
  </si>
  <si>
    <t>J-6865</t>
  </si>
  <si>
    <t>J-8034</t>
  </si>
  <si>
    <t>J-3904</t>
  </si>
  <si>
    <t>J-2320</t>
  </si>
  <si>
    <t>J-1180</t>
  </si>
  <si>
    <t>J-8918</t>
  </si>
  <si>
    <t>J-8249</t>
  </si>
  <si>
    <t>J-7189</t>
  </si>
  <si>
    <t>J-3631</t>
  </si>
  <si>
    <t>J-4261</t>
  </si>
  <si>
    <t>J-2592</t>
  </si>
  <si>
    <t>J-6224</t>
  </si>
  <si>
    <t>J-3225</t>
  </si>
  <si>
    <t>J-5762</t>
  </si>
  <si>
    <t>J-1744</t>
  </si>
  <si>
    <t>J-8231</t>
  </si>
  <si>
    <t>J-8203</t>
  </si>
  <si>
    <t>J-5749</t>
  </si>
  <si>
    <t>J-9711</t>
  </si>
  <si>
    <t>J-1663</t>
  </si>
  <si>
    <t>J-2855</t>
  </si>
  <si>
    <t>J-7263</t>
  </si>
  <si>
    <t>J-7235</t>
  </si>
  <si>
    <t>J-7960</t>
  </si>
  <si>
    <t>J-6613</t>
  </si>
  <si>
    <t>J-7482</t>
  </si>
  <si>
    <t>J-7480</t>
  </si>
  <si>
    <t>J-9440</t>
  </si>
  <si>
    <t>J-1249</t>
  </si>
  <si>
    <t>J-9665</t>
  </si>
  <si>
    <t>J-8459</t>
  </si>
  <si>
    <t>J-2322</t>
  </si>
  <si>
    <t>J-7556</t>
  </si>
  <si>
    <t>J-6384</t>
  </si>
  <si>
    <t>J-6828</t>
  </si>
  <si>
    <t>J-9912</t>
  </si>
  <si>
    <t>J-5001</t>
  </si>
  <si>
    <t>J-9321</t>
  </si>
  <si>
    <t>J-5734</t>
  </si>
  <si>
    <t>J-7170</t>
  </si>
  <si>
    <t>J-7161</t>
  </si>
  <si>
    <t>J-6174</t>
  </si>
  <si>
    <t>J-7998</t>
  </si>
  <si>
    <t>J-4036</t>
  </si>
  <si>
    <t>J-9386</t>
  </si>
  <si>
    <t>J-1915</t>
  </si>
  <si>
    <t>J-3346</t>
  </si>
  <si>
    <t>J-8375</t>
  </si>
  <si>
    <t>J-2654</t>
  </si>
  <si>
    <t>J-9071</t>
  </si>
  <si>
    <t>J-9130</t>
  </si>
  <si>
    <t>J-8646</t>
  </si>
  <si>
    <t>J-7382</t>
  </si>
  <si>
    <t>J-7329</t>
  </si>
  <si>
    <t>J-1904</t>
  </si>
  <si>
    <t>J-7022</t>
  </si>
  <si>
    <t>J-7519</t>
  </si>
  <si>
    <t>J-1052</t>
  </si>
  <si>
    <t>J-7124</t>
  </si>
  <si>
    <t>J-4454</t>
  </si>
  <si>
    <t>J-7004</t>
  </si>
  <si>
    <t>J-6220</t>
  </si>
  <si>
    <t>J-9089</t>
  </si>
  <si>
    <t>J-6646</t>
  </si>
  <si>
    <t>J-4599</t>
  </si>
  <si>
    <t>J-4218</t>
  </si>
  <si>
    <t>J-5940</t>
  </si>
  <si>
    <t>J-9461</t>
  </si>
  <si>
    <t>J-2702</t>
  </si>
  <si>
    <t>J-1436</t>
  </si>
  <si>
    <t>J-7176</t>
  </si>
  <si>
    <t>J-4359</t>
  </si>
  <si>
    <t>J-5139</t>
  </si>
  <si>
    <t>J-4791</t>
  </si>
  <si>
    <t>J-2383</t>
  </si>
  <si>
    <t>J-2957</t>
  </si>
  <si>
    <t>J-3134</t>
  </si>
  <si>
    <t>J-2534</t>
  </si>
  <si>
    <t>J-8096</t>
  </si>
  <si>
    <t>J-1047</t>
  </si>
  <si>
    <t>J-2303</t>
  </si>
  <si>
    <t>J-9758</t>
  </si>
  <si>
    <t>J-4841</t>
  </si>
  <si>
    <t>J-5606</t>
  </si>
  <si>
    <t>J-7562</t>
  </si>
  <si>
    <t>J-8225</t>
  </si>
  <si>
    <t>J-6056</t>
  </si>
  <si>
    <t>J-2219</t>
  </si>
  <si>
    <t>J-4452</t>
  </si>
  <si>
    <t>J-3102</t>
  </si>
  <si>
    <t>J-8794</t>
  </si>
  <si>
    <t>J-9280</t>
  </si>
  <si>
    <t>J-2035</t>
  </si>
  <si>
    <t>J-1729</t>
  </si>
  <si>
    <t>J-4116</t>
  </si>
  <si>
    <t>J-9168</t>
  </si>
  <si>
    <t>J-4232</t>
  </si>
  <si>
    <t>J-9190</t>
  </si>
  <si>
    <t>J-1784</t>
  </si>
  <si>
    <t>J-3359</t>
  </si>
  <si>
    <t>J-1000</t>
  </si>
  <si>
    <t>J-5177</t>
  </si>
  <si>
    <t>J-1543</t>
  </si>
  <si>
    <t>J-3864</t>
  </si>
  <si>
    <t>J-7222</t>
  </si>
  <si>
    <t>J-2197</t>
  </si>
  <si>
    <t>J-5790</t>
  </si>
  <si>
    <t>J-7681</t>
  </si>
  <si>
    <t>J-9938</t>
  </si>
  <si>
    <t>J-7046</t>
  </si>
  <si>
    <t>J-5273</t>
  </si>
  <si>
    <t>J-8294</t>
  </si>
  <si>
    <t>J-9299</t>
  </si>
  <si>
    <t>J-7267</t>
  </si>
  <si>
    <t>J-3420</t>
  </si>
  <si>
    <t>J-4535</t>
  </si>
  <si>
    <t>J-6665</t>
  </si>
  <si>
    <t>J-3491</t>
  </si>
  <si>
    <t>J-4165</t>
  </si>
  <si>
    <t>J-1754</t>
  </si>
  <si>
    <t>J-2438</t>
  </si>
  <si>
    <t>J-6625</t>
  </si>
  <si>
    <t>J-9131</t>
  </si>
  <si>
    <t>J-2975</t>
  </si>
  <si>
    <t>J-3948</t>
  </si>
  <si>
    <t>J-5359</t>
  </si>
  <si>
    <t>J-6876</t>
  </si>
  <si>
    <t>J-8263</t>
  </si>
  <si>
    <t>J-8680</t>
  </si>
  <si>
    <t>J-2567</t>
  </si>
  <si>
    <t>J-9687</t>
  </si>
  <si>
    <t>J-2643</t>
  </si>
  <si>
    <t>J-8604</t>
  </si>
  <si>
    <t>J-2968</t>
  </si>
  <si>
    <t>J-1714</t>
  </si>
  <si>
    <t>J-7602</t>
  </si>
  <si>
    <t>J-4766</t>
  </si>
  <si>
    <t>J-1390</t>
  </si>
  <si>
    <t>J-3910</t>
  </si>
  <si>
    <t>J-3148</t>
  </si>
  <si>
    <t>J-8235</t>
  </si>
  <si>
    <t>J-9114</t>
  </si>
  <si>
    <t>J-6990</t>
  </si>
  <si>
    <t>J-4434</t>
  </si>
  <si>
    <t>J-9471</t>
  </si>
  <si>
    <t>J-8067</t>
  </si>
  <si>
    <t>J-8902</t>
  </si>
  <si>
    <t>J-7056</t>
  </si>
  <si>
    <t>J-1415</t>
  </si>
  <si>
    <t>J-2628</t>
  </si>
  <si>
    <t>J-4844</t>
  </si>
  <si>
    <t>J-9400</t>
  </si>
  <si>
    <t>J-9903</t>
  </si>
  <si>
    <t>J-5667</t>
  </si>
  <si>
    <t>J-7815</t>
  </si>
  <si>
    <t>J-8533</t>
  </si>
  <si>
    <t>J-4367</t>
  </si>
  <si>
    <t>J-2726</t>
  </si>
  <si>
    <t>J-2976</t>
  </si>
  <si>
    <t>J-1147</t>
  </si>
  <si>
    <t>J-6191</t>
  </si>
  <si>
    <t>J-8732</t>
  </si>
  <si>
    <t>J-8316</t>
  </si>
  <si>
    <t>J-6504</t>
  </si>
  <si>
    <t>J-7565</t>
  </si>
  <si>
    <t>J-4482</t>
  </si>
  <si>
    <t>J-4645</t>
  </si>
  <si>
    <t>J-7717</t>
  </si>
  <si>
    <t>J-6190</t>
  </si>
  <si>
    <t>J-4650</t>
  </si>
  <si>
    <t>J-6155</t>
  </si>
  <si>
    <t>J-1831</t>
  </si>
  <si>
    <t>J-4178</t>
  </si>
  <si>
    <t>J-9165</t>
  </si>
  <si>
    <t>J-7475</t>
  </si>
  <si>
    <t>J-3627</t>
  </si>
  <si>
    <t>J-8632</t>
  </si>
  <si>
    <t>J-5471</t>
  </si>
  <si>
    <t>J-5233</t>
  </si>
  <si>
    <t>J-2328</t>
  </si>
  <si>
    <t>J-7837</t>
  </si>
  <si>
    <t>J-9234</t>
  </si>
  <si>
    <t>J-6032</t>
  </si>
  <si>
    <t>J-7635</t>
  </si>
  <si>
    <t>J-6541</t>
  </si>
  <si>
    <t>J-5040</t>
  </si>
  <si>
    <t>J-2833</t>
  </si>
  <si>
    <t>J-7976</t>
  </si>
  <si>
    <t>J-4607</t>
  </si>
  <si>
    <t>J-3884</t>
  </si>
  <si>
    <t>J-9922</t>
  </si>
  <si>
    <t>J-8296</t>
  </si>
  <si>
    <t>J-2065</t>
  </si>
  <si>
    <t>J-6739</t>
  </si>
  <si>
    <t>J-8590</t>
  </si>
  <si>
    <t>J-1716</t>
  </si>
  <si>
    <t>J-5433</t>
  </si>
  <si>
    <t>J-5678</t>
  </si>
  <si>
    <t>J-1911</t>
  </si>
  <si>
    <t>J-8386</t>
  </si>
  <si>
    <t>J-4924</t>
  </si>
  <si>
    <t>J-4215</t>
  </si>
  <si>
    <t>J-5279</t>
  </si>
  <si>
    <t>J-1482</t>
  </si>
  <si>
    <t>J-4631</t>
  </si>
  <si>
    <t>J-8581</t>
  </si>
  <si>
    <t>J-9769</t>
  </si>
  <si>
    <t>J-2637</t>
  </si>
  <si>
    <t>J-1991</t>
  </si>
  <si>
    <t>J-8621</t>
  </si>
  <si>
    <t>J-3390</t>
  </si>
  <si>
    <t>J-3101</t>
  </si>
  <si>
    <t>J-1645</t>
  </si>
  <si>
    <t>J-5048</t>
  </si>
  <si>
    <t>J-1538</t>
  </si>
  <si>
    <t>J-5774</t>
  </si>
  <si>
    <t>J-2969</t>
  </si>
  <si>
    <t>J-2767</t>
  </si>
  <si>
    <t>J-9620</t>
  </si>
  <si>
    <t>J-2326</t>
  </si>
  <si>
    <t>J-1919</t>
  </si>
  <si>
    <t>J-2177</t>
  </si>
  <si>
    <t>J-2367</t>
  </si>
  <si>
    <t>J-3456</t>
  </si>
  <si>
    <t>Welding Quality &amp; Rework Summary</t>
  </si>
  <si>
    <t>Total joints welded</t>
  </si>
  <si>
    <t>Total joints rejected</t>
  </si>
  <si>
    <t>Overall rejection rate</t>
  </si>
  <si>
    <t>Total rework cost</t>
  </si>
  <si>
    <t>Cost per rejected joint</t>
  </si>
  <si>
    <t>Active welders</t>
  </si>
  <si>
    <t xml:space="preserve">DPR lines recorded	</t>
  </si>
  <si>
    <t>SENSITIVITY — treatment of unrecorded rejection cells</t>
  </si>
  <si>
    <t>Rejection rate (blanks = zero)</t>
  </si>
  <si>
    <t>Rejection rate (blanks excluded)</t>
  </si>
  <si>
    <t>Difference</t>
  </si>
  <si>
    <t>Assumption applied in this report</t>
  </si>
  <si>
    <t>1. HIGHEST REWORK COST — BY WELDER</t>
  </si>
  <si>
    <t>Rework Cost</t>
  </si>
  <si>
    <t>Rejected</t>
  </si>
  <si>
    <t>Total Joints</t>
  </si>
  <si>
    <t>Rejection Rate</t>
  </si>
  <si>
    <t>2. HIGHEST REWORK COST — BY CONTRACTOR</t>
  </si>
  <si>
    <t>3. REJECTION BY JOINT TYPE</t>
  </si>
  <si>
    <t>4. REJECTION BY AREA</t>
  </si>
  <si>
    <t>5. REJECTION BY SHIFT</t>
  </si>
  <si>
    <t>Cost per Joint Welded</t>
  </si>
  <si>
    <t>KEY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</si>
</sst>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₹&quot;\ #,##0;&quot;₹&quot;\ \-#,##0"/>
    <numFmt numFmtId="164" formatCode="0.0%"/>
    <numFmt numFmtId="165" formatCode="&quot;₹&quot;\ #,##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rgb="FF1F3864"/>
      <name val="Aptos Narrow"/>
      <family val="2"/>
      <scheme val="minor"/>
    </font>
    <font>
      <i/>
      <sz val="9"/>
      <color rgb="FF595959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b/>
      <sz val="11"/>
      <color rgb="FFC55A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6E8E"/>
        <bgColor indexed="64"/>
      </patternFill>
    </fill>
    <fill>
      <patternFill patternType="solid">
        <fgColor rgb="FFEAF1F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5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164" fontId="0" fillId="3" borderId="3" xfId="1" applyNumberFormat="1" applyFont="1" applyFill="1" applyBorder="1"/>
    <xf numFmtId="5" fontId="0" fillId="3" borderId="3" xfId="0" applyNumberFormat="1" applyFill="1" applyBorder="1"/>
    <xf numFmtId="0" fontId="0" fillId="3" borderId="4" xfId="0" applyFill="1" applyBorder="1"/>
    <xf numFmtId="10" fontId="0" fillId="3" borderId="3" xfId="1" applyNumberFormat="1" applyFont="1" applyFill="1" applyBorder="1"/>
    <xf numFmtId="10" fontId="0" fillId="3" borderId="4" xfId="0" applyNumberFormat="1" applyFill="1" applyBorder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10" fontId="0" fillId="3" borderId="2" xfId="0" applyNumberFormat="1" applyFill="1" applyBorder="1"/>
  </cellXfs>
  <cellStyles count="2">
    <cellStyle name="Normal" xfId="0" builtinId="0"/>
    <cellStyle name="Percent" xfId="1" builtinId="5"/>
  </cellStyles>
  <dxfs count="10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595959"/>
      <color rgb="FFC55A11"/>
      <color rgb="FFD9D9D9"/>
      <color rgb="FFEAF1F5"/>
      <color rgb="FF2E6E8E"/>
      <color rgb="FF1F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Highest-cost contractor has the lowest rejection rate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Summary!$D$28</c:f>
              <c:strCache>
                <c:ptCount val="1"/>
                <c:pt idx="0">
                  <c:v>Total Joints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Summary!$A$29:$A$31</c:f>
              <c:strCache>
                <c:ptCount val="3"/>
                <c:pt idx="0">
                  <c:v>Konark Engineering Pvt Ltd</c:v>
                </c:pt>
                <c:pt idx="1">
                  <c:v>Sai Fab Works</c:v>
                </c:pt>
                <c:pt idx="2">
                  <c:v>Utkal Fabricators</c:v>
                </c:pt>
              </c:strCache>
            </c:strRef>
          </c:cat>
          <c:val>
            <c:numRef>
              <c:f>Summary!$D$29:$D$31</c:f>
              <c:numCache>
                <c:formatCode>General</c:formatCode>
                <c:ptCount val="3"/>
                <c:pt idx="0">
                  <c:v>1079</c:v>
                </c:pt>
                <c:pt idx="1">
                  <c:v>1377</c:v>
                </c:pt>
                <c:pt idx="2">
                  <c:v>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5-4AF5-8AF9-19486BC82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7015471"/>
        <c:axId val="690278415"/>
      </c:barChart>
      <c:lineChart>
        <c:grouping val="standard"/>
        <c:varyColors val="0"/>
        <c:ser>
          <c:idx val="1"/>
          <c:order val="1"/>
          <c:tx>
            <c:strRef>
              <c:f>Summary!$E$28</c:f>
              <c:strCache>
                <c:ptCount val="1"/>
                <c:pt idx="0">
                  <c:v>Rejection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0000000000000024E-2"/>
                  <c:y val="-6.01851851851851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F5-4AF5-8AF9-19486BC82CCB}"/>
                </c:ext>
              </c:extLst>
            </c:dLbl>
            <c:dLbl>
              <c:idx val="1"/>
              <c:layout>
                <c:manualLayout>
                  <c:x val="3.6111111111111108E-2"/>
                  <c:y val="5.55555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F5-4AF5-8AF9-19486BC82CCB}"/>
                </c:ext>
              </c:extLst>
            </c:dLbl>
            <c:dLbl>
              <c:idx val="2"/>
              <c:layout>
                <c:manualLayout>
                  <c:x val="-1.6666666666666767E-2"/>
                  <c:y val="-5.55555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6F5-4AF5-8AF9-19486BC82CCB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Summary!$A$29:$A$31</c:f>
              <c:strCache>
                <c:ptCount val="3"/>
                <c:pt idx="0">
                  <c:v>Konark Engineering Pvt Ltd</c:v>
                </c:pt>
                <c:pt idx="1">
                  <c:v>Sai Fab Works</c:v>
                </c:pt>
                <c:pt idx="2">
                  <c:v>Utkal Fabricators</c:v>
                </c:pt>
              </c:strCache>
            </c:strRef>
          </c:cat>
          <c:val>
            <c:numRef>
              <c:f>Summary!$E$29:$E$31</c:f>
              <c:numCache>
                <c:formatCode>0.0%</c:formatCode>
                <c:ptCount val="3"/>
                <c:pt idx="0">
                  <c:v>0.17608897126969417</c:v>
                </c:pt>
                <c:pt idx="1">
                  <c:v>0.13870733478576616</c:v>
                </c:pt>
                <c:pt idx="2">
                  <c:v>0.17694369973190349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F5-4AF5-8AF9-19486BC82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7001087"/>
        <c:axId val="690290895"/>
      </c:lineChart>
      <c:catAx>
        <c:axId val="89701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278415"/>
        <c:crosses val="autoZero"/>
        <c:auto val="1"/>
        <c:lblAlgn val="ctr"/>
        <c:lblOffset val="100"/>
        <c:noMultiLvlLbl val="0"/>
      </c:catAx>
      <c:valAx>
        <c:axId val="690278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015471"/>
        <c:crosses val="autoZero"/>
        <c:crossBetween val="between"/>
      </c:valAx>
      <c:valAx>
        <c:axId val="690290895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001087"/>
        <c:crosses val="max"/>
        <c:crossBetween val="between"/>
      </c:valAx>
      <c:catAx>
        <c:axId val="8970010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02908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Unit 3 Structure carries the highest rejection rate at 17.5%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Summary!$E$40</c:f>
              <c:strCache>
                <c:ptCount val="1"/>
                <c:pt idx="0">
                  <c:v>Rejection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Summary!$A$41:$A$43</c:f>
              <c:strCache>
                <c:ptCount val="3"/>
                <c:pt idx="0">
                  <c:v>Pipe Rack A</c:v>
                </c:pt>
                <c:pt idx="1">
                  <c:v>Tank Farm</c:v>
                </c:pt>
                <c:pt idx="2">
                  <c:v>Unit 3 Structure</c:v>
                </c:pt>
              </c:strCache>
            </c:strRef>
          </c:cat>
          <c:val>
            <c:numRef>
              <c:f>Summary!$E$41:$E$43</c:f>
              <c:numCache>
                <c:formatCode>0.0%</c:formatCode>
                <c:ptCount val="3"/>
                <c:pt idx="0">
                  <c:v>0.13864628820960698</c:v>
                </c:pt>
                <c:pt idx="1">
                  <c:v>0.16141001855287571</c:v>
                </c:pt>
                <c:pt idx="2">
                  <c:v>0.17549668874172186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5-4E73-BF7D-BE1BAABCA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3528911"/>
        <c:axId val="508631183"/>
      </c:barChart>
      <c:catAx>
        <c:axId val="853528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631183"/>
        <c:crosses val="autoZero"/>
        <c:auto val="1"/>
        <c:lblAlgn val="ctr"/>
        <c:lblOffset val="100"/>
        <c:noMultiLvlLbl val="0"/>
      </c:catAx>
      <c:valAx>
        <c:axId val="508631183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52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40821</xdr:colOff>
      <xdr:row>25</xdr:row>
      <xdr:rowOff>40822</xdr:rowOff>
    </xdr:from>
    <xdr:to>
      <xdr:col>16</xdr:col>
      <xdr:colOff>95249</xdr:colOff>
      <xdr:row>34</xdr:row>
      <xdr:rowOff>217715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3FC041-F82F-BA47-34A7-F733BDA6F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46265</xdr:colOff>
      <xdr:row>37</xdr:row>
      <xdr:rowOff>305478</xdr:rowOff>
    </xdr:from>
    <xdr:to>
      <xdr:col>16</xdr:col>
      <xdr:colOff>108857</xdr:colOff>
      <xdr:row>46</xdr:row>
      <xdr:rowOff>272141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511BF3-43F9-CE22-976C-21CE9B499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CDADD4-B181-4052-B8BD-7A55F7FAA816}" autoFormatId="16" applyNumberFormats="0" applyBorderFormats="0" applyFontFormats="0" applyPatternFormats="0" applyAlignmentFormats="0" applyWidthHeightFormats="0">
  <queryTableRefresh nextId="13">
    <queryTableFields count="12">
      <queryTableField id="1" name="DPR_Date" tableColumnId="1"/>
      <queryTableField id="2" name="Source_Month" tableColumnId="2"/>
      <queryTableField id="3" name="Contractor" tableColumnId="3"/>
      <queryTableField id="4" name="Welder_ID" tableColumnId="4"/>
      <queryTableField id="5" name="Area" tableColumnId="5"/>
      <queryTableField id="6" name="Shift" tableColumnId="6"/>
      <queryTableField id="7" name="Joint_Type" tableColumnId="7"/>
      <queryTableField id="8" name="Ref_Joint_No" tableColumnId="8"/>
      <queryTableField id="9" name="Total_Joints" tableColumnId="9"/>
      <queryTableField id="10" name="Rejected_Joints" tableColumnId="10"/>
      <queryTableField id="11" name="Rejected_Source" tableColumnId="11"/>
      <queryTableField id="12" name="Rework_Cos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135BDB-B714-439F-86F5-8CDBAF06FD92}" name="Fact_Welding" displayName="Fact_Welding" ref="A1:L256" tableType="queryTable" totalsRowShown="0">
  <autoFilter ref="A1:L256" xr:uid="{8C135BDB-B714-439F-86F5-8CDBAF06FD92}"/>
  <tableColumns count="12">
    <tableColumn id="1" xr3:uid="{7BF3A6F6-0287-44F5-A5D9-9AF75F7BB6DB}" uniqueName="1" name="DPR_Date" queryTableFieldId="1" dataDxfId="9"/>
    <tableColumn id="2" xr3:uid="{887E2881-B96D-4846-8191-A41A1B6E2B6E}" uniqueName="2" name="Source_Month" queryTableFieldId="2" dataDxfId="8"/>
    <tableColumn id="3" xr3:uid="{9EB97352-10A0-4656-A0B3-BE6052947FF4}" uniqueName="3" name="Contractor" queryTableFieldId="3" dataDxfId="7"/>
    <tableColumn id="4" xr3:uid="{F0AF80F5-59DC-43BC-B1F9-ECD67EB9E695}" uniqueName="4" name="Welder_ID" queryTableFieldId="4" dataDxfId="6"/>
    <tableColumn id="5" xr3:uid="{B76B7A48-A9EA-4091-BDF6-46A7245A30B3}" uniqueName="5" name="Area" queryTableFieldId="5" dataDxfId="5"/>
    <tableColumn id="6" xr3:uid="{C31E6A0C-5578-4EF3-8480-9F87745957C3}" uniqueName="6" name="Shift" queryTableFieldId="6" dataDxfId="4"/>
    <tableColumn id="7" xr3:uid="{47954127-98DF-4AAA-9857-8ABA8B74B5C4}" uniqueName="7" name="Joint_Type" queryTableFieldId="7" dataDxfId="3"/>
    <tableColumn id="8" xr3:uid="{B7F1EA7F-740B-4EA1-A383-231C90B12F5C}" uniqueName="8" name="Ref_Joint_No" queryTableFieldId="8" dataDxfId="2"/>
    <tableColumn id="9" xr3:uid="{C533C55C-7791-4A77-9172-85606F0669D0}" uniqueName="9" name="Total_Joints" queryTableFieldId="9"/>
    <tableColumn id="10" xr3:uid="{68620DFA-94CD-4EA4-8822-26173FFF6436}" uniqueName="10" name="Rejected_Joints" queryTableFieldId="10"/>
    <tableColumn id="11" xr3:uid="{A3F55129-8235-4AD7-8CC8-382AFE07C9B2}" uniqueName="11" name="Rejected_Source" queryTableFieldId="11" dataDxfId="1"/>
    <tableColumn id="12" xr3:uid="{6331ECEF-69F7-40EE-A9CD-CEE5182FCD66}" uniqueName="12" name="Rework_Cost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0FFBFC-0D1E-4567-922C-B08C52E136C2}" name="tbl_Contractor" displayName="tbl_Contractor" ref="A1:B7" totalsRowShown="0" headerRowDxfId="0">
  <autoFilter ref="A1:B7" xr:uid="{4D0FFBFC-0D1E-4567-922C-B08C52E136C2}"/>
  <tableColumns count="2">
    <tableColumn id="1" xr3:uid="{ECE1BB79-2812-4E10-8FC5-A6E8810F98D8}" name="Contractor_Raw"/>
    <tableColumn id="2" xr3:uid="{E20CEAA6-E08B-4DEC-8633-D0409631562E}" name="Contractor_Clea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F63668-DA0A-4EB5-8BB2-EE1DFF29B7D7}" name="tbl_Shift" displayName="tbl_Shift" ref="D1:E5" totalsRowShown="0">
  <autoFilter ref="D1:E5" xr:uid="{77F63668-DA0A-4EB5-8BB2-EE1DFF29B7D7}"/>
  <tableColumns count="2">
    <tableColumn id="1" xr3:uid="{645D5870-615C-4F1C-8FE2-73792ECE766F}" name="Shift_Raw"/>
    <tableColumn id="2" xr3:uid="{4DEC4E20-9F65-4256-B252-16BF46D6D822}" name="Shift_Cle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2ACF4-A823-4357-AD32-1A6FC32D6895}">
  <dimension ref="A1"/>
  <sheetViews>
    <sheetView workbookViewId="0">
      <selection activeCell="H10" sqref="H10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679F1-7E57-4CC4-B2B7-01B83E27B12C}">
  <sheetPr>
    <pageSetUpPr fitToPage="1"/>
  </sheetPr>
  <dimension ref="A1:G49"/>
  <sheetViews>
    <sheetView showGridLines="0" tabSelected="1" zoomScaleNormal="100" workbookViewId="0">
      <pane ySplit="3" topLeftCell="A4" activePane="bottomLeft" state="frozen"/>
      <selection pane="bottomLeft" activeCell="K37" sqref="K37"/>
    </sheetView>
  </sheetViews>
  <sheetFormatPr defaultRowHeight="15" x14ac:dyDescent="0.25"/>
  <cols>
    <col min="1" max="1" width="57.140625" customWidth="1"/>
    <col min="2" max="2" width="15.7109375" bestFit="1" customWidth="1"/>
    <col min="3" max="3" width="47.7109375" bestFit="1" customWidth="1"/>
    <col min="4" max="4" width="14.85546875" bestFit="1" customWidth="1"/>
    <col min="5" max="5" width="18.7109375" bestFit="1" customWidth="1"/>
    <col min="6" max="6" width="27.7109375" customWidth="1"/>
    <col min="7" max="7" width="71.85546875" customWidth="1"/>
  </cols>
  <sheetData>
    <row r="1" spans="1:6" ht="21" x14ac:dyDescent="0.35">
      <c r="A1" s="6" t="s">
        <v>292</v>
      </c>
    </row>
    <row r="2" spans="1:6" x14ac:dyDescent="0.25">
      <c r="A2" s="7" t="str">
        <f>"Period: "&amp;TEXT(MIN(Fact_Welding[DPR_Date]),"dd mmm yyyy")&amp;" to "&amp;TEXT(MAX(Fact_Welding[DPR_Date]),"dd mmm yyyy")</f>
        <v>Period: 01 Jan 2026 to 28 Mar 2026</v>
      </c>
    </row>
    <row r="3" spans="1:6" x14ac:dyDescent="0.25">
      <c r="A3" s="7" t="str">
        <f>"Source: fabrication_monthly_logs_MESSY.xlsx | Rows: "&amp;COUNTA(Fact_Welding[Welder_ID])</f>
        <v>Source: fabrication_monthly_logs_MESSY.xlsx | Rows: 255</v>
      </c>
    </row>
    <row r="5" spans="1:6" x14ac:dyDescent="0.25">
      <c r="A5" s="8" t="s">
        <v>315</v>
      </c>
      <c r="B5" s="9"/>
      <c r="C5" s="9"/>
      <c r="D5" s="9"/>
      <c r="E5" s="9"/>
      <c r="F5" s="9"/>
    </row>
    <row r="6" spans="1:6" x14ac:dyDescent="0.25">
      <c r="A6" s="11" t="s">
        <v>293</v>
      </c>
      <c r="B6" s="11">
        <f>SUM(Fact_Welding[Total_Joints])</f>
        <v>3202</v>
      </c>
    </row>
    <row r="7" spans="1:6" x14ac:dyDescent="0.25">
      <c r="A7" s="12" t="s">
        <v>294</v>
      </c>
      <c r="B7" s="12">
        <f>SUM(Fact_Welding[Rejected_Joints])</f>
        <v>513</v>
      </c>
    </row>
    <row r="8" spans="1:6" x14ac:dyDescent="0.25">
      <c r="A8" s="12" t="s">
        <v>295</v>
      </c>
      <c r="B8" s="13">
        <f>B7/B6</f>
        <v>0.16021236727045596</v>
      </c>
    </row>
    <row r="9" spans="1:6" x14ac:dyDescent="0.25">
      <c r="A9" s="12" t="s">
        <v>296</v>
      </c>
      <c r="B9" s="14">
        <f>SUM(Fact_Welding[Rework_Cost])</f>
        <v>1156403</v>
      </c>
    </row>
    <row r="10" spans="1:6" x14ac:dyDescent="0.25">
      <c r="A10" s="12" t="s">
        <v>297</v>
      </c>
      <c r="B10" s="14">
        <f>IFERROR(B9/B7,0)</f>
        <v>2254.1968810916178</v>
      </c>
    </row>
    <row r="11" spans="1:6" x14ac:dyDescent="0.25">
      <c r="A11" s="12" t="s">
        <v>298</v>
      </c>
      <c r="B11" s="12" cm="1">
        <f t="array" ref="B11">SUMPRODUCT(1/COUNTIF(Fact_Welding[Welder_ID],Fact_Welding[Welder_ID]))</f>
        <v>5.9999999999999956</v>
      </c>
    </row>
    <row r="12" spans="1:6" x14ac:dyDescent="0.25">
      <c r="A12" s="15" t="s">
        <v>299</v>
      </c>
      <c r="B12" s="15">
        <f>COUNTA(Fact_Welding[Welder_ID])</f>
        <v>255</v>
      </c>
    </row>
    <row r="14" spans="1:6" x14ac:dyDescent="0.25">
      <c r="A14" s="8" t="s">
        <v>300</v>
      </c>
      <c r="B14" s="9"/>
      <c r="C14" s="9"/>
      <c r="D14" s="9"/>
      <c r="E14" s="9"/>
      <c r="F14" s="9"/>
    </row>
    <row r="15" spans="1:6" x14ac:dyDescent="0.25">
      <c r="A15" s="11" t="s">
        <v>301</v>
      </c>
      <c r="B15" s="20">
        <f>B8</f>
        <v>0.16021236727045596</v>
      </c>
      <c r="C15" s="7" t="s">
        <v>304</v>
      </c>
    </row>
    <row r="16" spans="1:6" x14ac:dyDescent="0.25">
      <c r="A16" s="12" t="s">
        <v>302</v>
      </c>
      <c r="B16" s="16">
        <f>SUMIFS(Fact_Welding[Rejected_Joints],Fact_Welding[Rejected_Source],"Recorded")/SUMIFS(Fact_Welding[Total_Joints],Fact_Welding[Rejected_Source],"Recorded")</f>
        <v>0.16452854393842206</v>
      </c>
    </row>
    <row r="17" spans="1:7" x14ac:dyDescent="0.25">
      <c r="A17" s="15" t="s">
        <v>303</v>
      </c>
      <c r="B17" s="17">
        <f>B16-B15</f>
        <v>4.316176667966104E-3</v>
      </c>
      <c r="C17" s="7" t="str">
        <f>IF(ABS(B17)&lt;0.005,"Immaterial — assumption does not affect findings","Material — see defect log G1")</f>
        <v>Immaterial — assumption does not affect findings</v>
      </c>
    </row>
    <row r="20" spans="1:7" x14ac:dyDescent="0.25">
      <c r="A20" s="8" t="s">
        <v>305</v>
      </c>
      <c r="B20" s="10" t="s">
        <v>306</v>
      </c>
      <c r="C20" s="10" t="s">
        <v>307</v>
      </c>
      <c r="D20" s="10" t="s">
        <v>308</v>
      </c>
      <c r="E20" s="10" t="s">
        <v>309</v>
      </c>
      <c r="F20" s="10" t="s">
        <v>314</v>
      </c>
    </row>
    <row r="21" spans="1:7" ht="34.5" customHeight="1" x14ac:dyDescent="0.25">
      <c r="A21" t="str" cm="1">
        <f t="array" ref="A21">INDEX(_xlfn._xlws.SORT(_xlfn.UNIQUE(Fact_Welding[Welder_ID])),ROW()-20)</f>
        <v>WLD-004</v>
      </c>
      <c r="B21" s="3">
        <f>SUMIFS(Fact_Welding[Rework_Cost],Fact_Welding[Welder_ID],$A21)</f>
        <v>326626</v>
      </c>
      <c r="C21">
        <f>SUMIFS(Fact_Welding[Rejected_Joints],Fact_Welding[Welder_ID],$A21)</f>
        <v>129</v>
      </c>
      <c r="D21">
        <f>SUMIFS(Fact_Welding[Total_Joints],Fact_Welding[Welder_ID],$A21)</f>
        <v>839</v>
      </c>
      <c r="E21" s="4">
        <f>IFERROR(C21/D21,0)</f>
        <v>0.1537544696066746</v>
      </c>
      <c r="F21" s="5">
        <f>IFERROR(B21/D21,0)</f>
        <v>389.30393325387365</v>
      </c>
      <c r="G21" s="19" t="str">
        <f>"Highest total rework cost: "&amp;INDEX($A$21:$A$26,MATCH(MAX($B$21:$B$26),$B$21:$B$26,0))&amp;" (₹"&amp;TEXT(MAX($B$21:$B$26),"#,##0")&amp;"), driven by volume. Highest rejection rate: "&amp;INDEX($A$21:$A$26,MATCH(MAX($E$21:$E$26),$E$21:$E$26,0))&amp;" at "&amp;TEXT(MAX($E$21:$E$26),"0.0%")</f>
        <v>Highest total rework cost: WLD-004 (₹3,26,626), driven by volume. Highest rejection rate: WLD-042 at 19.6%</v>
      </c>
    </row>
    <row r="22" spans="1:7" ht="34.5" customHeight="1" x14ac:dyDescent="0.25">
      <c r="A22" t="str" cm="1">
        <f t="array" ref="A22">INDEX(_xlfn._xlws.SORT(_xlfn.UNIQUE(Fact_Welding[Welder_ID])),ROW()-20)</f>
        <v>WLD-011</v>
      </c>
      <c r="B22" s="3">
        <f>SUMIFS(Fact_Welding[Rework_Cost],Fact_Welding[Welder_ID],$A22)</f>
        <v>164285</v>
      </c>
      <c r="C22">
        <f>SUMIFS(Fact_Welding[Rejected_Joints],Fact_Welding[Welder_ID],$A22)</f>
        <v>83</v>
      </c>
      <c r="D22">
        <f>SUMIFS(Fact_Welding[Total_Joints],Fact_Welding[Welder_ID],$A22)</f>
        <v>537</v>
      </c>
      <c r="E22" s="4">
        <f t="shared" ref="E22:E26" si="0">IFERROR(C22/D22,0)</f>
        <v>0.15456238361266295</v>
      </c>
      <c r="F22" s="5">
        <f t="shared" ref="F22:F26" si="1">IFERROR(B22/D22,0)</f>
        <v>305.93109869646185</v>
      </c>
      <c r="G22" s="18"/>
    </row>
    <row r="23" spans="1:7" ht="34.5" customHeight="1" x14ac:dyDescent="0.25">
      <c r="A23" t="str" cm="1">
        <f t="array" ref="A23">INDEX(_xlfn._xlws.SORT(_xlfn.UNIQUE(Fact_Welding[Welder_ID])),ROW()-20)</f>
        <v>WLD-017</v>
      </c>
      <c r="B23" s="3">
        <f>SUMIFS(Fact_Welding[Rework_Cost],Fact_Welding[Welder_ID],$A23)</f>
        <v>236491</v>
      </c>
      <c r="C23">
        <f>SUMIFS(Fact_Welding[Rejected_Joints],Fact_Welding[Welder_ID],$A23)</f>
        <v>110</v>
      </c>
      <c r="D23">
        <f>SUMIFS(Fact_Welding[Total_Joints],Fact_Welding[Welder_ID],$A23)</f>
        <v>644</v>
      </c>
      <c r="E23" s="4">
        <f t="shared" si="0"/>
        <v>0.17080745341614906</v>
      </c>
      <c r="F23" s="5">
        <f t="shared" si="1"/>
        <v>367.22204968944101</v>
      </c>
      <c r="G23" s="18"/>
    </row>
    <row r="24" spans="1:7" ht="34.5" customHeight="1" x14ac:dyDescent="0.25">
      <c r="A24" t="str" cm="1">
        <f t="array" ref="A24">INDEX(_xlfn._xlws.SORT(_xlfn.UNIQUE(Fact_Welding[Welder_ID])),ROW()-20)</f>
        <v>WLD-023</v>
      </c>
      <c r="B24" s="3">
        <f>SUMIFS(Fact_Welding[Rework_Cost],Fact_Welding[Welder_ID],$A24)</f>
        <v>136980</v>
      </c>
      <c r="C24">
        <f>SUMIFS(Fact_Welding[Rejected_Joints],Fact_Welding[Welder_ID],$A24)</f>
        <v>63</v>
      </c>
      <c r="D24">
        <f>SUMIFS(Fact_Welding[Total_Joints],Fact_Welding[Welder_ID],$A24)</f>
        <v>419</v>
      </c>
      <c r="E24" s="4">
        <f t="shared" si="0"/>
        <v>0.15035799522673032</v>
      </c>
      <c r="F24" s="5">
        <f t="shared" si="1"/>
        <v>326.92124105011931</v>
      </c>
      <c r="G24" s="18"/>
    </row>
    <row r="25" spans="1:7" ht="34.5" customHeight="1" x14ac:dyDescent="0.25">
      <c r="A25" t="str" cm="1">
        <f t="array" ref="A25">INDEX(_xlfn._xlws.SORT(_xlfn.UNIQUE(Fact_Welding[Welder_ID])),ROW()-20)</f>
        <v>WLD-031</v>
      </c>
      <c r="B25" s="3">
        <f>SUMIFS(Fact_Welding[Rework_Cost],Fact_Welding[Welder_ID],$A25)</f>
        <v>177251</v>
      </c>
      <c r="C25">
        <f>SUMIFS(Fact_Welding[Rejected_Joints],Fact_Welding[Welder_ID],$A25)</f>
        <v>78</v>
      </c>
      <c r="D25">
        <f>SUMIFS(Fact_Welding[Total_Joints],Fact_Welding[Welder_ID],$A25)</f>
        <v>508</v>
      </c>
      <c r="E25" s="4">
        <f t="shared" si="0"/>
        <v>0.15354330708661418</v>
      </c>
      <c r="F25" s="5">
        <f t="shared" si="1"/>
        <v>348.9192913385827</v>
      </c>
      <c r="G25" s="18"/>
    </row>
    <row r="26" spans="1:7" ht="34.5" customHeight="1" x14ac:dyDescent="0.25">
      <c r="A26" t="str" cm="1">
        <f t="array" ref="A26">INDEX(_xlfn._xlws.SORT(_xlfn.UNIQUE(Fact_Welding[Welder_ID])),ROW()-20)</f>
        <v>WLD-042</v>
      </c>
      <c r="B26" s="3">
        <f>SUMIFS(Fact_Welding[Rework_Cost],Fact_Welding[Welder_ID],$A26)</f>
        <v>114770</v>
      </c>
      <c r="C26">
        <f>SUMIFS(Fact_Welding[Rejected_Joints],Fact_Welding[Welder_ID],$A26)</f>
        <v>50</v>
      </c>
      <c r="D26">
        <f>SUMIFS(Fact_Welding[Total_Joints],Fact_Welding[Welder_ID],$A26)</f>
        <v>255</v>
      </c>
      <c r="E26" s="4">
        <f t="shared" si="0"/>
        <v>0.19607843137254902</v>
      </c>
      <c r="F26" s="5">
        <f t="shared" si="1"/>
        <v>450.07843137254901</v>
      </c>
      <c r="G26" s="18"/>
    </row>
    <row r="28" spans="1:7" x14ac:dyDescent="0.25">
      <c r="A28" s="8" t="s">
        <v>310</v>
      </c>
      <c r="B28" s="10" t="s">
        <v>306</v>
      </c>
      <c r="C28" s="10" t="s">
        <v>307</v>
      </c>
      <c r="D28" s="10" t="s">
        <v>308</v>
      </c>
      <c r="E28" s="10" t="s">
        <v>309</v>
      </c>
      <c r="F28" s="10" t="s">
        <v>314</v>
      </c>
    </row>
    <row r="29" spans="1:7" ht="34.5" customHeight="1" x14ac:dyDescent="0.25">
      <c r="A29" t="str" cm="1">
        <f t="array" ref="A29" xml:space="preserve"> INDEX(_xlfn._xlws.SORT(_xlfn.UNIQUE(Fact_Welding[Contractor])),ROW()-28)</f>
        <v>Konark Engineering Pvt Ltd</v>
      </c>
      <c r="B29" s="3">
        <f>SUMIFS(Fact_Welding[Rework_Cost],Fact_Welding[Contractor],$A29)</f>
        <v>401568</v>
      </c>
      <c r="C29">
        <f>SUMIFS(Fact_Welding[Rejected_Joints],Fact_Welding[Contractor],$A29)</f>
        <v>190</v>
      </c>
      <c r="D29">
        <f>SUMIFS(Fact_Welding[Total_Joints],Fact_Welding[Contractor],$A29)</f>
        <v>1079</v>
      </c>
      <c r="E29" s="4">
        <f>IFERROR(C29/D29,0)</f>
        <v>0.17608897126969417</v>
      </c>
      <c r="F29" s="5">
        <f>IFERROR(B29/D29,0)</f>
        <v>372.16682113067657</v>
      </c>
      <c r="G29" s="19" t="str">
        <f>"Highest total rework cost: "&amp;INDEX($A$29:$A$31,MATCH(MAX($B$29:$B$31),$B$29:$B$31,0))&amp;" (₹"&amp;TEXT(MAX($B$29:$B$31),"#,##0")&amp;"), driven by volume. Highest rejection rate: "&amp;INDEX($A$29:$A$31,MATCH(MAX($E$29:$E$31),$E$29:$E$31,0))&amp;" at "&amp;TEXT(MAX($E$29:$E$31),"0.0%")</f>
        <v>Highest total rework cost: Sai Fab Works (₹4,52,812), driven by volume. Highest rejection rate: Utkal Fabricators at 17.7%</v>
      </c>
    </row>
    <row r="30" spans="1:7" ht="34.5" customHeight="1" x14ac:dyDescent="0.25">
      <c r="A30" t="str" cm="1">
        <f t="array" ref="A30" xml:space="preserve"> INDEX(_xlfn._xlws.SORT(_xlfn.UNIQUE(Fact_Welding[Contractor])),ROW()-28)</f>
        <v>Sai Fab Works</v>
      </c>
      <c r="B30" s="3">
        <f>SUMIFS(Fact_Welding[Rework_Cost],Fact_Welding[Contractor],$A30)</f>
        <v>452812</v>
      </c>
      <c r="C30">
        <f>SUMIFS(Fact_Welding[Rejected_Joints],Fact_Welding[Contractor],$A30)</f>
        <v>191</v>
      </c>
      <c r="D30">
        <f>SUMIFS(Fact_Welding[Total_Joints],Fact_Welding[Contractor],$A30)</f>
        <v>1377</v>
      </c>
      <c r="E30" s="4">
        <f t="shared" ref="E30:E31" si="2">IFERROR(C30/D30,0)</f>
        <v>0.13870733478576616</v>
      </c>
      <c r="F30" s="5">
        <f t="shared" ref="F30:F31" si="3">IFERROR(B30/D30,0)</f>
        <v>328.83950617283949</v>
      </c>
      <c r="G30" s="18"/>
    </row>
    <row r="31" spans="1:7" ht="34.5" customHeight="1" x14ac:dyDescent="0.25">
      <c r="A31" t="str" cm="1">
        <f t="array" ref="A31" xml:space="preserve"> INDEX(_xlfn._xlws.SORT(_xlfn.UNIQUE(Fact_Welding[Contractor])),ROW()-28)</f>
        <v>Utkal Fabricators</v>
      </c>
      <c r="B31" s="3">
        <f>SUMIFS(Fact_Welding[Rework_Cost],Fact_Welding[Contractor],$A31)</f>
        <v>302023</v>
      </c>
      <c r="C31">
        <f>SUMIFS(Fact_Welding[Rejected_Joints],Fact_Welding[Contractor],$A31)</f>
        <v>132</v>
      </c>
      <c r="D31">
        <f>SUMIFS(Fact_Welding[Total_Joints],Fact_Welding[Contractor],$A31)</f>
        <v>746</v>
      </c>
      <c r="E31" s="4">
        <f t="shared" si="2"/>
        <v>0.17694369973190349</v>
      </c>
      <c r="F31" s="5">
        <f t="shared" si="3"/>
        <v>404.85656836461123</v>
      </c>
      <c r="G31" s="18"/>
    </row>
    <row r="32" spans="1:7" ht="34.5" customHeight="1" x14ac:dyDescent="0.25">
      <c r="B32" s="3"/>
      <c r="E32" s="4"/>
      <c r="F32" s="5"/>
      <c r="G32" s="18"/>
    </row>
    <row r="33" spans="1:7" ht="34.5" customHeight="1" x14ac:dyDescent="0.25">
      <c r="B33" s="3"/>
      <c r="E33" s="4"/>
      <c r="F33" s="5"/>
      <c r="G33" s="18"/>
    </row>
    <row r="34" spans="1:7" x14ac:dyDescent="0.25">
      <c r="A34" s="8" t="s">
        <v>311</v>
      </c>
      <c r="B34" s="10" t="s">
        <v>306</v>
      </c>
      <c r="C34" s="10" t="s">
        <v>307</v>
      </c>
      <c r="D34" s="10" t="s">
        <v>308</v>
      </c>
      <c r="E34" s="10" t="s">
        <v>309</v>
      </c>
      <c r="F34" s="10"/>
    </row>
    <row r="35" spans="1:7" ht="34.5" customHeight="1" x14ac:dyDescent="0.25">
      <c r="A35" t="str" cm="1">
        <f t="array" ref="A35">INDEX(_xlfn._xlws.SORT(_xlfn.UNIQUE(Fact_Welding[Joint_Type])),ROW()-34)</f>
        <v>Butt</v>
      </c>
      <c r="B35" s="3">
        <f>SUMIFS(Fact_Welding[Rework_Cost],Fact_Welding[Joint_Type],$A35)</f>
        <v>430821</v>
      </c>
      <c r="C35">
        <f>SUMIFS(Fact_Welding[Rejected_Joints],Fact_Welding[Joint_Type],$A35)</f>
        <v>190</v>
      </c>
      <c r="D35">
        <f>SUMIFS(Fact_Welding[Total_Joints],Fact_Welding[Joint_Type],$A35)</f>
        <v>1151</v>
      </c>
      <c r="E35" s="4">
        <f>IFERROR(C35/D35,0)</f>
        <v>0.16507384882710685</v>
      </c>
      <c r="F35" s="5"/>
      <c r="G35" s="19" t="str">
        <f>"Highest rejection rate: "&amp;INDEX($A$35:$A$37,MATCH(MAX($E$35:$E$37),$E$35:$E$37,0))&amp;" at "&amp;TEXT(MAX($E$35:$E$37),"0.0%")</f>
        <v>Highest rejection rate: Butt at 16.5%</v>
      </c>
    </row>
    <row r="36" spans="1:7" ht="34.5" customHeight="1" x14ac:dyDescent="0.25">
      <c r="A36" t="str" cm="1">
        <f t="array" ref="A36">INDEX(_xlfn._xlws.SORT(_xlfn.UNIQUE(Fact_Welding[Joint_Type])),ROW()-34)</f>
        <v>Fillet</v>
      </c>
      <c r="B36" s="3">
        <f>SUMIFS(Fact_Welding[Rework_Cost],Fact_Welding[Joint_Type],$A36)</f>
        <v>294013</v>
      </c>
      <c r="C36">
        <f>SUMIFS(Fact_Welding[Rejected_Joints],Fact_Welding[Joint_Type],$A36)</f>
        <v>129</v>
      </c>
      <c r="D36">
        <f>SUMIFS(Fact_Welding[Total_Joints],Fact_Welding[Joint_Type],$A36)</f>
        <v>830</v>
      </c>
      <c r="E36" s="4">
        <f t="shared" ref="E36:E37" si="4">IFERROR(C36/D36,0)</f>
        <v>0.15542168674698795</v>
      </c>
      <c r="F36" s="5"/>
      <c r="G36" s="18"/>
    </row>
    <row r="37" spans="1:7" ht="34.5" customHeight="1" x14ac:dyDescent="0.25">
      <c r="A37" t="str" cm="1">
        <f t="array" ref="A37">INDEX(_xlfn._xlws.SORT(_xlfn.UNIQUE(Fact_Welding[Joint_Type])),ROW()-34)</f>
        <v>Socket</v>
      </c>
      <c r="B37" s="3">
        <f>SUMIFS(Fact_Welding[Rework_Cost],Fact_Welding[Joint_Type],$A37)</f>
        <v>431569</v>
      </c>
      <c r="C37">
        <f>SUMIFS(Fact_Welding[Rejected_Joints],Fact_Welding[Joint_Type],$A37)</f>
        <v>194</v>
      </c>
      <c r="D37">
        <f>SUMIFS(Fact_Welding[Total_Joints],Fact_Welding[Joint_Type],$A37)</f>
        <v>1221</v>
      </c>
      <c r="E37" s="4">
        <f t="shared" si="4"/>
        <v>0.1588861588861589</v>
      </c>
      <c r="F37" s="5"/>
      <c r="G37" s="18"/>
    </row>
    <row r="38" spans="1:7" ht="34.5" customHeight="1" x14ac:dyDescent="0.25">
      <c r="B38" s="3"/>
      <c r="E38" s="4"/>
      <c r="F38" s="5"/>
      <c r="G38" s="18"/>
    </row>
    <row r="39" spans="1:7" ht="34.5" customHeight="1" x14ac:dyDescent="0.25">
      <c r="B39" s="3"/>
      <c r="E39" s="4"/>
      <c r="F39" s="5"/>
      <c r="G39" s="18"/>
    </row>
    <row r="40" spans="1:7" x14ac:dyDescent="0.25">
      <c r="A40" s="8" t="s">
        <v>312</v>
      </c>
      <c r="B40" s="10" t="s">
        <v>306</v>
      </c>
      <c r="C40" s="10" t="s">
        <v>307</v>
      </c>
      <c r="D40" s="10" t="s">
        <v>308</v>
      </c>
      <c r="E40" s="10" t="s">
        <v>309</v>
      </c>
      <c r="F40" s="10"/>
    </row>
    <row r="41" spans="1:7" ht="34.5" customHeight="1" x14ac:dyDescent="0.25">
      <c r="A41" t="str" cm="1">
        <f t="array" ref="A41">INDEX(_xlfn._xlws.SORT(_xlfn.UNIQUE(Fact_Welding[Area])),ROW()-40)</f>
        <v>Pipe Rack A</v>
      </c>
      <c r="B41" s="3">
        <f>SUMIFS(Fact_Welding[Rework_Cost],Fact_Welding[Area],$A41)</f>
        <v>281745</v>
      </c>
      <c r="C41">
        <f>SUMIFS(Fact_Welding[Rejected_Joints],Fact_Welding[Area],$A41)</f>
        <v>127</v>
      </c>
      <c r="D41">
        <f>SUMIFS(Fact_Welding[Total_Joints],Fact_Welding[Area],$A41)</f>
        <v>916</v>
      </c>
      <c r="E41" s="4">
        <f>IFERROR(C41/D41,0)</f>
        <v>0.13864628820960698</v>
      </c>
      <c r="F41" s="5"/>
      <c r="G41" s="19" t="str">
        <f>"Highest rejection rate: "&amp;INDEX($A$41:$A$43,MATCH(MAX($E$41:$E$43),$E$41:$E$43,0))&amp;" at "&amp;TEXT(MAX($E$41:$E$43),"0.0%")</f>
        <v>Highest rejection rate: Unit 3 Structure at 17.5%</v>
      </c>
    </row>
    <row r="42" spans="1:7" ht="34.5" customHeight="1" x14ac:dyDescent="0.25">
      <c r="A42" t="str" cm="1">
        <f t="array" ref="A42">INDEX(_xlfn._xlws.SORT(_xlfn.UNIQUE(Fact_Welding[Area])),ROW()-40)</f>
        <v>Tank Farm</v>
      </c>
      <c r="B42" s="3">
        <f>SUMIFS(Fact_Welding[Rework_Cost],Fact_Welding[Area],$A42)</f>
        <v>392001</v>
      </c>
      <c r="C42">
        <f>SUMIFS(Fact_Welding[Rejected_Joints],Fact_Welding[Area],$A42)</f>
        <v>174</v>
      </c>
      <c r="D42">
        <f>SUMIFS(Fact_Welding[Total_Joints],Fact_Welding[Area],$A42)</f>
        <v>1078</v>
      </c>
      <c r="E42" s="4">
        <f t="shared" ref="E42:E43" si="5">IFERROR(C42/D42,0)</f>
        <v>0.16141001855287571</v>
      </c>
      <c r="F42" s="5"/>
      <c r="G42" s="18"/>
    </row>
    <row r="43" spans="1:7" ht="34.5" customHeight="1" x14ac:dyDescent="0.25">
      <c r="A43" t="str" cm="1">
        <f t="array" ref="A43">INDEX(_xlfn._xlws.SORT(_xlfn.UNIQUE(Fact_Welding[Area])),ROW()-40)</f>
        <v>Unit 3 Structure</v>
      </c>
      <c r="B43" s="3">
        <f>SUMIFS(Fact_Welding[Rework_Cost],Fact_Welding[Area],$A43)</f>
        <v>482657</v>
      </c>
      <c r="C43">
        <f>SUMIFS(Fact_Welding[Rejected_Joints],Fact_Welding[Area],$A43)</f>
        <v>212</v>
      </c>
      <c r="D43">
        <f>SUMIFS(Fact_Welding[Total_Joints],Fact_Welding[Area],$A43)</f>
        <v>1208</v>
      </c>
      <c r="E43" s="4">
        <f t="shared" si="5"/>
        <v>0.17549668874172186</v>
      </c>
      <c r="F43" s="5"/>
      <c r="G43" s="18"/>
    </row>
    <row r="44" spans="1:7" ht="34.5" customHeight="1" x14ac:dyDescent="0.25">
      <c r="B44" s="3"/>
      <c r="E44" s="4"/>
      <c r="F44" s="5"/>
      <c r="G44" s="18"/>
    </row>
    <row r="45" spans="1:7" ht="34.5" customHeight="1" x14ac:dyDescent="0.25">
      <c r="B45" s="3"/>
      <c r="E45" s="4"/>
      <c r="F45" s="5"/>
      <c r="G45" s="18"/>
    </row>
    <row r="46" spans="1:7" x14ac:dyDescent="0.25">
      <c r="A46" s="8" t="s">
        <v>313</v>
      </c>
      <c r="B46" s="10" t="s">
        <v>306</v>
      </c>
      <c r="C46" s="10" t="s">
        <v>307</v>
      </c>
      <c r="D46" s="10" t="s">
        <v>308</v>
      </c>
      <c r="E46" s="10" t="s">
        <v>309</v>
      </c>
      <c r="F46" s="10"/>
    </row>
    <row r="47" spans="1:7" ht="34.5" customHeight="1" x14ac:dyDescent="0.25">
      <c r="A47" t="str" cm="1">
        <f t="array" ref="A47">INDEX(_xlfn._xlws.SORT(_xlfn.UNIQUE(Fact_Welding[Shift])),ROW()-46)</f>
        <v>Day</v>
      </c>
      <c r="B47" s="3">
        <f>SUMIFS(Fact_Welding[Rework_Cost],Fact_Welding[Shift],$A47)</f>
        <v>374197</v>
      </c>
      <c r="C47">
        <f>SUMIFS(Fact_Welding[Rejected_Joints],Fact_Welding[Shift],$A47)</f>
        <v>177</v>
      </c>
      <c r="D47">
        <f>SUMIFS(Fact_Welding[Total_Joints],Fact_Welding[Shift],$A47)</f>
        <v>1105</v>
      </c>
      <c r="E47" s="4">
        <f>IFERROR(C47/D47,0)</f>
        <v>0.16018099547511314</v>
      </c>
      <c r="F47" s="5"/>
      <c r="G47" s="19" t="str">
        <f>"Highest rejection rate: "&amp;INDEX($A$47:$A$49,MATCH(MAX($E$47:$E$49),$E$47:$E$49,0))&amp;" at "&amp;TEXT(MAX($E$47:$E$49),"0.0%")</f>
        <v>Highest rejection rate: General at 16.8%</v>
      </c>
    </row>
    <row r="48" spans="1:7" ht="34.5" customHeight="1" x14ac:dyDescent="0.25">
      <c r="A48" t="str" cm="1">
        <f t="array" ref="A48">INDEX(_xlfn._xlws.SORT(_xlfn.UNIQUE(Fact_Welding[Shift])),ROW()-46)</f>
        <v>General</v>
      </c>
      <c r="B48" s="3">
        <f>SUMIFS(Fact_Welding[Rework_Cost],Fact_Welding[Shift],$A48)</f>
        <v>461463</v>
      </c>
      <c r="C48">
        <f>SUMIFS(Fact_Welding[Rejected_Joints],Fact_Welding[Shift],$A48)</f>
        <v>197</v>
      </c>
      <c r="D48">
        <f>SUMIFS(Fact_Welding[Total_Joints],Fact_Welding[Shift],$A48)</f>
        <v>1171</v>
      </c>
      <c r="E48" s="4">
        <f t="shared" ref="E48:E49" si="6">IFERROR(C48/D48,0)</f>
        <v>0.16823228010247651</v>
      </c>
      <c r="F48" s="5"/>
      <c r="G48" s="18"/>
    </row>
    <row r="49" spans="1:7" ht="34.5" customHeight="1" x14ac:dyDescent="0.25">
      <c r="A49" t="str" cm="1">
        <f t="array" ref="A49">INDEX(_xlfn._xlws.SORT(_xlfn.UNIQUE(Fact_Welding[Shift])),ROW()-46)</f>
        <v>Night</v>
      </c>
      <c r="B49" s="3">
        <f>SUMIFS(Fact_Welding[Rework_Cost],Fact_Welding[Shift],$A49)</f>
        <v>320743</v>
      </c>
      <c r="C49">
        <f>SUMIFS(Fact_Welding[Rejected_Joints],Fact_Welding[Shift],$A49)</f>
        <v>139</v>
      </c>
      <c r="D49">
        <f>SUMIFS(Fact_Welding[Total_Joints],Fact_Welding[Shift],$A49)</f>
        <v>926</v>
      </c>
      <c r="E49" s="4">
        <f t="shared" si="6"/>
        <v>0.15010799136069114</v>
      </c>
      <c r="F49" s="5"/>
      <c r="G49" s="18"/>
    </row>
  </sheetData>
  <pageMargins left="0.23622047244094491" right="0.23622047244094491" top="0.74803149606299213" bottom="0.74803149606299213" header="0.31496062992125984" footer="0.31496062992125984"/>
  <pageSetup paperSize="9" scale="39" orientation="landscape" r:id="rId1"/>
  <headerFooter>
    <oddFooter>&amp;LFabrication Cleanup — Summary&amp;RPage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DFAA-55EF-413C-AC12-080B07A37D64}">
  <dimension ref="A1:L256"/>
  <sheetViews>
    <sheetView workbookViewId="0">
      <selection activeCell="J9" sqref="J9"/>
    </sheetView>
  </sheetViews>
  <sheetFormatPr defaultRowHeight="15" x14ac:dyDescent="0.25"/>
  <cols>
    <col min="1" max="1" width="12.28515625" bestFit="1" customWidth="1"/>
    <col min="2" max="2" width="16.28515625" bestFit="1" customWidth="1"/>
    <col min="3" max="3" width="24.42578125" bestFit="1" customWidth="1"/>
    <col min="4" max="4" width="12.7109375" bestFit="1" customWidth="1"/>
    <col min="5" max="5" width="14.42578125" bestFit="1" customWidth="1"/>
    <col min="6" max="6" width="7.85546875" bestFit="1" customWidth="1"/>
    <col min="7" max="7" width="12.7109375" bestFit="1" customWidth="1"/>
    <col min="8" max="8" width="15" bestFit="1" customWidth="1"/>
    <col min="9" max="9" width="13.85546875" bestFit="1" customWidth="1"/>
    <col min="10" max="10" width="17.7109375" bestFit="1" customWidth="1"/>
    <col min="11" max="11" width="18.7109375" bestFit="1" customWidth="1"/>
    <col min="12" max="12" width="15.140625" bestFit="1" customWidth="1"/>
  </cols>
  <sheetData>
    <row r="1" spans="1:12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</row>
    <row r="2" spans="1:12" x14ac:dyDescent="0.25">
      <c r="A2" s="2">
        <v>46030</v>
      </c>
      <c r="B2" s="2">
        <v>46023</v>
      </c>
      <c r="C2" t="s">
        <v>2</v>
      </c>
      <c r="D2" t="s">
        <v>26</v>
      </c>
      <c r="E2" t="s">
        <v>27</v>
      </c>
      <c r="F2" t="s">
        <v>11</v>
      </c>
      <c r="G2" t="s">
        <v>28</v>
      </c>
      <c r="H2" t="s">
        <v>29</v>
      </c>
      <c r="I2">
        <v>7</v>
      </c>
      <c r="J2">
        <v>1</v>
      </c>
      <c r="K2" t="s">
        <v>30</v>
      </c>
      <c r="L2">
        <v>3671</v>
      </c>
    </row>
    <row r="3" spans="1:12" x14ac:dyDescent="0.25">
      <c r="A3" s="2">
        <v>46037</v>
      </c>
      <c r="B3" s="2">
        <v>46023</v>
      </c>
      <c r="C3" t="s">
        <v>6</v>
      </c>
      <c r="D3" t="s">
        <v>31</v>
      </c>
      <c r="E3" t="s">
        <v>32</v>
      </c>
      <c r="F3" t="s">
        <v>10</v>
      </c>
      <c r="G3" t="s">
        <v>33</v>
      </c>
      <c r="H3" t="s">
        <v>34</v>
      </c>
      <c r="I3">
        <v>4</v>
      </c>
      <c r="J3">
        <v>0</v>
      </c>
      <c r="K3" t="s">
        <v>30</v>
      </c>
      <c r="L3">
        <v>0</v>
      </c>
    </row>
    <row r="4" spans="1:12" x14ac:dyDescent="0.25">
      <c r="A4" s="2">
        <v>46028</v>
      </c>
      <c r="B4" s="2">
        <v>46023</v>
      </c>
      <c r="C4" t="s">
        <v>5</v>
      </c>
      <c r="D4" t="s">
        <v>35</v>
      </c>
      <c r="E4" t="s">
        <v>36</v>
      </c>
      <c r="F4" t="s">
        <v>10</v>
      </c>
      <c r="G4" t="s">
        <v>28</v>
      </c>
      <c r="H4" t="s">
        <v>37</v>
      </c>
      <c r="I4">
        <v>20</v>
      </c>
      <c r="J4">
        <v>4</v>
      </c>
      <c r="K4" t="s">
        <v>30</v>
      </c>
      <c r="L4">
        <v>3653</v>
      </c>
    </row>
    <row r="5" spans="1:12" x14ac:dyDescent="0.25">
      <c r="A5" s="2">
        <v>46036</v>
      </c>
      <c r="B5" s="2">
        <v>46023</v>
      </c>
      <c r="C5" t="s">
        <v>2</v>
      </c>
      <c r="D5" t="s">
        <v>38</v>
      </c>
      <c r="E5" t="s">
        <v>27</v>
      </c>
      <c r="F5" t="s">
        <v>12</v>
      </c>
      <c r="G5" t="s">
        <v>33</v>
      </c>
      <c r="H5" t="s">
        <v>39</v>
      </c>
      <c r="I5">
        <v>20</v>
      </c>
      <c r="J5">
        <v>0</v>
      </c>
      <c r="K5" t="s">
        <v>30</v>
      </c>
      <c r="L5">
        <v>0</v>
      </c>
    </row>
    <row r="6" spans="1:12" x14ac:dyDescent="0.25">
      <c r="A6" s="2">
        <v>46042</v>
      </c>
      <c r="B6" s="2">
        <v>46023</v>
      </c>
      <c r="C6" t="s">
        <v>6</v>
      </c>
      <c r="D6" t="s">
        <v>38</v>
      </c>
      <c r="E6" t="s">
        <v>32</v>
      </c>
      <c r="F6" t="s">
        <v>12</v>
      </c>
      <c r="G6" t="s">
        <v>33</v>
      </c>
      <c r="H6" t="s">
        <v>40</v>
      </c>
      <c r="I6">
        <v>16</v>
      </c>
      <c r="J6">
        <v>4</v>
      </c>
      <c r="K6" t="s">
        <v>30</v>
      </c>
      <c r="L6">
        <v>10833</v>
      </c>
    </row>
    <row r="7" spans="1:12" x14ac:dyDescent="0.25">
      <c r="A7" s="2">
        <v>46050</v>
      </c>
      <c r="B7" s="2">
        <v>46023</v>
      </c>
      <c r="C7" t="s">
        <v>5</v>
      </c>
      <c r="D7" t="s">
        <v>31</v>
      </c>
      <c r="E7" t="s">
        <v>32</v>
      </c>
      <c r="F7" t="s">
        <v>10</v>
      </c>
      <c r="G7" t="s">
        <v>41</v>
      </c>
      <c r="H7" t="s">
        <v>42</v>
      </c>
      <c r="I7">
        <v>22</v>
      </c>
      <c r="J7">
        <v>3</v>
      </c>
      <c r="K7" t="s">
        <v>30</v>
      </c>
      <c r="L7">
        <v>9641</v>
      </c>
    </row>
    <row r="8" spans="1:12" x14ac:dyDescent="0.25">
      <c r="A8" s="2">
        <v>46029</v>
      </c>
      <c r="B8" s="2">
        <v>46023</v>
      </c>
      <c r="C8" t="s">
        <v>5</v>
      </c>
      <c r="D8" t="s">
        <v>31</v>
      </c>
      <c r="E8" t="s">
        <v>32</v>
      </c>
      <c r="F8" t="s">
        <v>11</v>
      </c>
      <c r="G8" t="s">
        <v>28</v>
      </c>
      <c r="H8" t="s">
        <v>43</v>
      </c>
      <c r="I8">
        <v>15</v>
      </c>
      <c r="J8">
        <v>3</v>
      </c>
      <c r="K8" t="s">
        <v>30</v>
      </c>
      <c r="L8">
        <v>9605</v>
      </c>
    </row>
    <row r="9" spans="1:12" x14ac:dyDescent="0.25">
      <c r="A9" s="2">
        <v>46032</v>
      </c>
      <c r="B9" s="2">
        <v>46023</v>
      </c>
      <c r="C9" t="s">
        <v>5</v>
      </c>
      <c r="D9" t="s">
        <v>31</v>
      </c>
      <c r="E9" t="s">
        <v>27</v>
      </c>
      <c r="F9" t="s">
        <v>10</v>
      </c>
      <c r="G9" t="s">
        <v>28</v>
      </c>
      <c r="H9" t="s">
        <v>44</v>
      </c>
      <c r="I9">
        <v>5</v>
      </c>
      <c r="J9">
        <v>0</v>
      </c>
      <c r="K9" t="s">
        <v>30</v>
      </c>
      <c r="L9">
        <v>0</v>
      </c>
    </row>
    <row r="10" spans="1:12" x14ac:dyDescent="0.25">
      <c r="A10" s="2">
        <v>46045</v>
      </c>
      <c r="B10" s="2">
        <v>46023</v>
      </c>
      <c r="C10" t="s">
        <v>2</v>
      </c>
      <c r="D10" t="s">
        <v>45</v>
      </c>
      <c r="E10" t="s">
        <v>27</v>
      </c>
      <c r="F10" t="s">
        <v>12</v>
      </c>
      <c r="G10" t="s">
        <v>28</v>
      </c>
      <c r="H10" t="s">
        <v>46</v>
      </c>
      <c r="I10">
        <v>13</v>
      </c>
      <c r="J10">
        <v>3</v>
      </c>
      <c r="K10" t="s">
        <v>30</v>
      </c>
      <c r="L10">
        <v>6555</v>
      </c>
    </row>
    <row r="11" spans="1:12" x14ac:dyDescent="0.25">
      <c r="A11" s="2">
        <v>46033</v>
      </c>
      <c r="B11" s="2">
        <v>46023</v>
      </c>
      <c r="C11" t="s">
        <v>5</v>
      </c>
      <c r="D11" t="s">
        <v>31</v>
      </c>
      <c r="E11" t="s">
        <v>36</v>
      </c>
      <c r="F11" t="s">
        <v>11</v>
      </c>
      <c r="G11" t="s">
        <v>41</v>
      </c>
      <c r="H11" t="s">
        <v>47</v>
      </c>
      <c r="I11">
        <v>15</v>
      </c>
      <c r="J11">
        <v>5</v>
      </c>
      <c r="K11" t="s">
        <v>30</v>
      </c>
      <c r="L11">
        <v>9476</v>
      </c>
    </row>
    <row r="12" spans="1:12" x14ac:dyDescent="0.25">
      <c r="A12" s="2">
        <v>46025</v>
      </c>
      <c r="B12" s="2">
        <v>46023</v>
      </c>
      <c r="C12" t="s">
        <v>5</v>
      </c>
      <c r="D12" t="s">
        <v>35</v>
      </c>
      <c r="E12" t="s">
        <v>32</v>
      </c>
      <c r="F12" t="s">
        <v>11</v>
      </c>
      <c r="G12" t="s">
        <v>28</v>
      </c>
      <c r="H12" t="s">
        <v>48</v>
      </c>
      <c r="I12">
        <v>20</v>
      </c>
      <c r="J12">
        <v>3</v>
      </c>
      <c r="K12" t="s">
        <v>30</v>
      </c>
      <c r="L12">
        <v>4226</v>
      </c>
    </row>
    <row r="13" spans="1:12" x14ac:dyDescent="0.25">
      <c r="A13" s="2">
        <v>46044</v>
      </c>
      <c r="B13" s="2">
        <v>46023</v>
      </c>
      <c r="C13" t="s">
        <v>5</v>
      </c>
      <c r="D13" t="s">
        <v>38</v>
      </c>
      <c r="E13" t="s">
        <v>36</v>
      </c>
      <c r="F13" t="s">
        <v>10</v>
      </c>
      <c r="G13" t="s">
        <v>33</v>
      </c>
      <c r="H13" t="s">
        <v>49</v>
      </c>
      <c r="I13">
        <v>13</v>
      </c>
      <c r="J13">
        <v>3</v>
      </c>
      <c r="K13" t="s">
        <v>30</v>
      </c>
      <c r="L13">
        <v>10998</v>
      </c>
    </row>
    <row r="14" spans="1:12" x14ac:dyDescent="0.25">
      <c r="A14" s="2">
        <v>46032</v>
      </c>
      <c r="B14" s="2">
        <v>46023</v>
      </c>
      <c r="C14" t="s">
        <v>5</v>
      </c>
      <c r="D14" t="s">
        <v>31</v>
      </c>
      <c r="E14" t="s">
        <v>36</v>
      </c>
      <c r="F14" t="s">
        <v>12</v>
      </c>
      <c r="G14" t="s">
        <v>28</v>
      </c>
      <c r="H14" t="s">
        <v>50</v>
      </c>
      <c r="I14">
        <v>7</v>
      </c>
      <c r="J14">
        <v>2</v>
      </c>
      <c r="K14" t="s">
        <v>30</v>
      </c>
      <c r="L14">
        <v>4447</v>
      </c>
    </row>
    <row r="15" spans="1:12" x14ac:dyDescent="0.25">
      <c r="A15" s="2">
        <v>46048</v>
      </c>
      <c r="B15" s="2">
        <v>46023</v>
      </c>
      <c r="C15" t="s">
        <v>2</v>
      </c>
      <c r="D15" t="s">
        <v>45</v>
      </c>
      <c r="E15" t="s">
        <v>27</v>
      </c>
      <c r="F15" t="s">
        <v>10</v>
      </c>
      <c r="G15" t="s">
        <v>28</v>
      </c>
      <c r="H15" t="s">
        <v>51</v>
      </c>
      <c r="I15">
        <v>16</v>
      </c>
      <c r="J15">
        <v>0</v>
      </c>
      <c r="K15" t="s">
        <v>52</v>
      </c>
      <c r="L15">
        <v>0</v>
      </c>
    </row>
    <row r="16" spans="1:12" x14ac:dyDescent="0.25">
      <c r="A16" s="2">
        <v>46026</v>
      </c>
      <c r="B16" s="2">
        <v>46023</v>
      </c>
      <c r="C16" t="s">
        <v>5</v>
      </c>
      <c r="D16" t="s">
        <v>45</v>
      </c>
      <c r="E16" t="s">
        <v>27</v>
      </c>
      <c r="F16" t="s">
        <v>11</v>
      </c>
      <c r="G16" t="s">
        <v>33</v>
      </c>
      <c r="H16" t="s">
        <v>53</v>
      </c>
      <c r="I16">
        <v>13</v>
      </c>
      <c r="J16">
        <v>2</v>
      </c>
      <c r="K16" t="s">
        <v>30</v>
      </c>
      <c r="L16">
        <v>1856</v>
      </c>
    </row>
    <row r="17" spans="1:12" x14ac:dyDescent="0.25">
      <c r="A17" s="2">
        <v>46047</v>
      </c>
      <c r="B17" s="2">
        <v>46023</v>
      </c>
      <c r="C17" t="s">
        <v>5</v>
      </c>
      <c r="D17" t="s">
        <v>35</v>
      </c>
      <c r="E17" t="s">
        <v>36</v>
      </c>
      <c r="F17" t="s">
        <v>11</v>
      </c>
      <c r="G17" t="s">
        <v>33</v>
      </c>
      <c r="H17" t="s">
        <v>54</v>
      </c>
      <c r="I17">
        <v>10</v>
      </c>
      <c r="J17">
        <v>1</v>
      </c>
      <c r="K17" t="s">
        <v>30</v>
      </c>
      <c r="L17">
        <v>3337</v>
      </c>
    </row>
    <row r="18" spans="1:12" x14ac:dyDescent="0.25">
      <c r="A18" s="2">
        <v>46035</v>
      </c>
      <c r="B18" s="2">
        <v>46023</v>
      </c>
      <c r="C18" t="s">
        <v>6</v>
      </c>
      <c r="D18" t="s">
        <v>31</v>
      </c>
      <c r="E18" t="s">
        <v>27</v>
      </c>
      <c r="F18" t="s">
        <v>11</v>
      </c>
      <c r="G18" t="s">
        <v>33</v>
      </c>
      <c r="H18" t="s">
        <v>55</v>
      </c>
      <c r="I18">
        <v>7</v>
      </c>
      <c r="J18">
        <v>0</v>
      </c>
      <c r="K18" t="s">
        <v>30</v>
      </c>
      <c r="L18">
        <v>0</v>
      </c>
    </row>
    <row r="19" spans="1:12" x14ac:dyDescent="0.25">
      <c r="A19" s="2">
        <v>46034</v>
      </c>
      <c r="B19" s="2">
        <v>46023</v>
      </c>
      <c r="C19" t="s">
        <v>6</v>
      </c>
      <c r="D19" t="s">
        <v>31</v>
      </c>
      <c r="E19" t="s">
        <v>27</v>
      </c>
      <c r="F19" t="s">
        <v>10</v>
      </c>
      <c r="G19" t="s">
        <v>28</v>
      </c>
      <c r="H19" t="s">
        <v>56</v>
      </c>
      <c r="I19">
        <v>17</v>
      </c>
      <c r="J19">
        <v>2</v>
      </c>
      <c r="K19" t="s">
        <v>30</v>
      </c>
      <c r="L19">
        <v>6649</v>
      </c>
    </row>
    <row r="20" spans="1:12" x14ac:dyDescent="0.25">
      <c r="A20" s="2">
        <v>46029</v>
      </c>
      <c r="B20" s="2">
        <v>46023</v>
      </c>
      <c r="C20" t="s">
        <v>2</v>
      </c>
      <c r="D20" t="s">
        <v>38</v>
      </c>
      <c r="E20" t="s">
        <v>27</v>
      </c>
      <c r="F20" t="s">
        <v>10</v>
      </c>
      <c r="G20" t="s">
        <v>41</v>
      </c>
      <c r="H20" t="s">
        <v>57</v>
      </c>
      <c r="I20">
        <v>20</v>
      </c>
      <c r="J20">
        <v>0</v>
      </c>
      <c r="K20" t="s">
        <v>30</v>
      </c>
      <c r="L20">
        <v>0</v>
      </c>
    </row>
    <row r="21" spans="1:12" x14ac:dyDescent="0.25">
      <c r="A21" s="2">
        <v>46045</v>
      </c>
      <c r="B21" s="2">
        <v>46023</v>
      </c>
      <c r="C21" t="s">
        <v>5</v>
      </c>
      <c r="D21" t="s">
        <v>26</v>
      </c>
      <c r="E21" t="s">
        <v>27</v>
      </c>
      <c r="F21" t="s">
        <v>11</v>
      </c>
      <c r="G21" t="s">
        <v>33</v>
      </c>
      <c r="H21" t="s">
        <v>58</v>
      </c>
      <c r="I21">
        <v>14</v>
      </c>
      <c r="J21">
        <v>3</v>
      </c>
      <c r="K21" t="s">
        <v>30</v>
      </c>
      <c r="L21">
        <v>4921</v>
      </c>
    </row>
    <row r="22" spans="1:12" x14ac:dyDescent="0.25">
      <c r="A22" s="2">
        <v>46024</v>
      </c>
      <c r="B22" s="2">
        <v>46023</v>
      </c>
      <c r="C22" t="s">
        <v>6</v>
      </c>
      <c r="D22" t="s">
        <v>59</v>
      </c>
      <c r="E22" t="s">
        <v>36</v>
      </c>
      <c r="F22" t="s">
        <v>12</v>
      </c>
      <c r="G22" t="s">
        <v>28</v>
      </c>
      <c r="H22" t="s">
        <v>60</v>
      </c>
      <c r="I22">
        <v>19</v>
      </c>
      <c r="J22">
        <v>1</v>
      </c>
      <c r="K22" t="s">
        <v>30</v>
      </c>
      <c r="L22">
        <v>1356</v>
      </c>
    </row>
    <row r="23" spans="1:12" x14ac:dyDescent="0.25">
      <c r="A23" s="2">
        <v>46047</v>
      </c>
      <c r="B23" s="2">
        <v>46023</v>
      </c>
      <c r="C23" t="s">
        <v>5</v>
      </c>
      <c r="D23" t="s">
        <v>26</v>
      </c>
      <c r="E23" t="s">
        <v>36</v>
      </c>
      <c r="F23" t="s">
        <v>12</v>
      </c>
      <c r="G23" t="s">
        <v>28</v>
      </c>
      <c r="H23" t="s">
        <v>61</v>
      </c>
      <c r="I23">
        <v>12</v>
      </c>
      <c r="J23">
        <v>0</v>
      </c>
      <c r="K23" t="s">
        <v>30</v>
      </c>
      <c r="L23">
        <v>0</v>
      </c>
    </row>
    <row r="24" spans="1:12" x14ac:dyDescent="0.25">
      <c r="A24" s="2">
        <v>46045</v>
      </c>
      <c r="B24" s="2">
        <v>46023</v>
      </c>
      <c r="C24" t="s">
        <v>5</v>
      </c>
      <c r="D24" t="s">
        <v>31</v>
      </c>
      <c r="E24" t="s">
        <v>32</v>
      </c>
      <c r="F24" t="s">
        <v>12</v>
      </c>
      <c r="G24" t="s">
        <v>28</v>
      </c>
      <c r="H24" t="s">
        <v>62</v>
      </c>
      <c r="I24">
        <v>11</v>
      </c>
      <c r="J24">
        <v>3</v>
      </c>
      <c r="K24" t="s">
        <v>30</v>
      </c>
      <c r="L24">
        <v>8135</v>
      </c>
    </row>
    <row r="25" spans="1:12" x14ac:dyDescent="0.25">
      <c r="A25" s="2">
        <v>46037</v>
      </c>
      <c r="B25" s="2">
        <v>46023</v>
      </c>
      <c r="C25" t="s">
        <v>5</v>
      </c>
      <c r="D25" t="s">
        <v>31</v>
      </c>
      <c r="E25" t="s">
        <v>36</v>
      </c>
      <c r="F25" t="s">
        <v>11</v>
      </c>
      <c r="G25" t="s">
        <v>33</v>
      </c>
      <c r="H25" t="s">
        <v>63</v>
      </c>
      <c r="I25">
        <v>19</v>
      </c>
      <c r="J25">
        <v>4</v>
      </c>
      <c r="K25" t="s">
        <v>30</v>
      </c>
      <c r="L25">
        <v>11871</v>
      </c>
    </row>
    <row r="26" spans="1:12" x14ac:dyDescent="0.25">
      <c r="A26" s="2">
        <v>46028</v>
      </c>
      <c r="B26" s="2">
        <v>46023</v>
      </c>
      <c r="C26" t="s">
        <v>6</v>
      </c>
      <c r="D26" t="s">
        <v>59</v>
      </c>
      <c r="E26" t="s">
        <v>27</v>
      </c>
      <c r="F26" t="s">
        <v>12</v>
      </c>
      <c r="G26" t="s">
        <v>28</v>
      </c>
      <c r="H26" t="s">
        <v>64</v>
      </c>
      <c r="I26">
        <v>17</v>
      </c>
      <c r="J26">
        <v>4</v>
      </c>
      <c r="K26" t="s">
        <v>30</v>
      </c>
      <c r="L26">
        <v>4398</v>
      </c>
    </row>
    <row r="27" spans="1:12" x14ac:dyDescent="0.25">
      <c r="A27" s="2">
        <v>46045</v>
      </c>
      <c r="B27" s="2">
        <v>46023</v>
      </c>
      <c r="C27" t="s">
        <v>5</v>
      </c>
      <c r="D27" t="s">
        <v>59</v>
      </c>
      <c r="E27" t="s">
        <v>27</v>
      </c>
      <c r="F27" t="s">
        <v>10</v>
      </c>
      <c r="G27" t="s">
        <v>41</v>
      </c>
      <c r="H27" t="s">
        <v>65</v>
      </c>
      <c r="I27">
        <v>8</v>
      </c>
      <c r="J27">
        <v>2</v>
      </c>
      <c r="K27" t="s">
        <v>30</v>
      </c>
      <c r="L27">
        <v>5181</v>
      </c>
    </row>
    <row r="28" spans="1:12" x14ac:dyDescent="0.25">
      <c r="A28" s="2">
        <v>46027</v>
      </c>
      <c r="B28" s="2">
        <v>46023</v>
      </c>
      <c r="C28" t="s">
        <v>2</v>
      </c>
      <c r="D28" t="s">
        <v>31</v>
      </c>
      <c r="E28" t="s">
        <v>32</v>
      </c>
      <c r="F28" t="s">
        <v>10</v>
      </c>
      <c r="G28" t="s">
        <v>41</v>
      </c>
      <c r="H28" t="s">
        <v>66</v>
      </c>
      <c r="I28">
        <v>3</v>
      </c>
      <c r="J28">
        <v>0</v>
      </c>
      <c r="K28" t="s">
        <v>30</v>
      </c>
      <c r="L28">
        <v>0</v>
      </c>
    </row>
    <row r="29" spans="1:12" x14ac:dyDescent="0.25">
      <c r="A29" s="2">
        <v>46030</v>
      </c>
      <c r="B29" s="2">
        <v>46023</v>
      </c>
      <c r="C29" t="s">
        <v>6</v>
      </c>
      <c r="D29" t="s">
        <v>45</v>
      </c>
      <c r="E29" t="s">
        <v>32</v>
      </c>
      <c r="F29" t="s">
        <v>12</v>
      </c>
      <c r="G29" t="s">
        <v>28</v>
      </c>
      <c r="H29" t="s">
        <v>67</v>
      </c>
      <c r="I29">
        <v>6</v>
      </c>
      <c r="J29">
        <v>2</v>
      </c>
      <c r="K29" t="s">
        <v>30</v>
      </c>
      <c r="L29">
        <v>2726</v>
      </c>
    </row>
    <row r="30" spans="1:12" x14ac:dyDescent="0.25">
      <c r="A30" s="2">
        <v>46028</v>
      </c>
      <c r="B30" s="2">
        <v>46023</v>
      </c>
      <c r="C30" t="s">
        <v>2</v>
      </c>
      <c r="D30" t="s">
        <v>35</v>
      </c>
      <c r="E30" t="s">
        <v>32</v>
      </c>
      <c r="F30" t="s">
        <v>11</v>
      </c>
      <c r="G30" t="s">
        <v>28</v>
      </c>
      <c r="H30" t="s">
        <v>68</v>
      </c>
      <c r="I30">
        <v>15</v>
      </c>
      <c r="J30">
        <v>0</v>
      </c>
      <c r="K30" t="s">
        <v>30</v>
      </c>
      <c r="L30">
        <v>0</v>
      </c>
    </row>
    <row r="31" spans="1:12" x14ac:dyDescent="0.25">
      <c r="A31" s="2">
        <v>46037</v>
      </c>
      <c r="B31" s="2">
        <v>46023</v>
      </c>
      <c r="C31" t="s">
        <v>5</v>
      </c>
      <c r="D31" t="s">
        <v>35</v>
      </c>
      <c r="E31" t="s">
        <v>32</v>
      </c>
      <c r="F31" t="s">
        <v>12</v>
      </c>
      <c r="G31" t="s">
        <v>41</v>
      </c>
      <c r="H31" t="s">
        <v>69</v>
      </c>
      <c r="I31">
        <v>4</v>
      </c>
      <c r="J31">
        <v>0</v>
      </c>
      <c r="K31" t="s">
        <v>52</v>
      </c>
      <c r="L31">
        <v>0</v>
      </c>
    </row>
    <row r="32" spans="1:12" x14ac:dyDescent="0.25">
      <c r="A32" s="2">
        <v>46037</v>
      </c>
      <c r="B32" s="2">
        <v>46023</v>
      </c>
      <c r="C32" t="s">
        <v>2</v>
      </c>
      <c r="D32" t="s">
        <v>31</v>
      </c>
      <c r="E32" t="s">
        <v>32</v>
      </c>
      <c r="F32" t="s">
        <v>10</v>
      </c>
      <c r="G32" t="s">
        <v>33</v>
      </c>
      <c r="H32" t="s">
        <v>70</v>
      </c>
      <c r="I32">
        <v>6</v>
      </c>
      <c r="J32">
        <v>1</v>
      </c>
      <c r="K32" t="s">
        <v>30</v>
      </c>
      <c r="L32">
        <v>1416</v>
      </c>
    </row>
    <row r="33" spans="1:12" x14ac:dyDescent="0.25">
      <c r="A33" s="2">
        <v>46043</v>
      </c>
      <c r="B33" s="2">
        <v>46023</v>
      </c>
      <c r="C33" t="s">
        <v>5</v>
      </c>
      <c r="D33" t="s">
        <v>31</v>
      </c>
      <c r="E33" t="s">
        <v>27</v>
      </c>
      <c r="F33" t="s">
        <v>11</v>
      </c>
      <c r="G33" t="s">
        <v>28</v>
      </c>
      <c r="H33" t="s">
        <v>71</v>
      </c>
      <c r="I33">
        <v>14</v>
      </c>
      <c r="J33">
        <v>3</v>
      </c>
      <c r="K33" t="s">
        <v>30</v>
      </c>
      <c r="L33">
        <v>5762</v>
      </c>
    </row>
    <row r="34" spans="1:12" x14ac:dyDescent="0.25">
      <c r="A34" s="2">
        <v>46049</v>
      </c>
      <c r="B34" s="2">
        <v>46023</v>
      </c>
      <c r="C34" t="s">
        <v>5</v>
      </c>
      <c r="D34" t="s">
        <v>31</v>
      </c>
      <c r="E34" t="s">
        <v>32</v>
      </c>
      <c r="F34" t="s">
        <v>12</v>
      </c>
      <c r="G34" t="s">
        <v>41</v>
      </c>
      <c r="H34" t="s">
        <v>72</v>
      </c>
      <c r="I34">
        <v>7</v>
      </c>
      <c r="J34">
        <v>0</v>
      </c>
      <c r="K34" t="s">
        <v>30</v>
      </c>
      <c r="L34">
        <v>0</v>
      </c>
    </row>
    <row r="35" spans="1:12" x14ac:dyDescent="0.25">
      <c r="A35" s="2">
        <v>46042</v>
      </c>
      <c r="B35" s="2">
        <v>46023</v>
      </c>
      <c r="C35" t="s">
        <v>5</v>
      </c>
      <c r="D35" t="s">
        <v>26</v>
      </c>
      <c r="E35" t="s">
        <v>32</v>
      </c>
      <c r="F35" t="s">
        <v>10</v>
      </c>
      <c r="G35" t="s">
        <v>33</v>
      </c>
      <c r="H35" t="s">
        <v>73</v>
      </c>
      <c r="I35">
        <v>16</v>
      </c>
      <c r="J35">
        <v>4</v>
      </c>
      <c r="K35" t="s">
        <v>30</v>
      </c>
      <c r="L35">
        <v>3868</v>
      </c>
    </row>
    <row r="36" spans="1:12" x14ac:dyDescent="0.25">
      <c r="A36" s="2">
        <v>46046</v>
      </c>
      <c r="B36" s="2">
        <v>46023</v>
      </c>
      <c r="C36" t="s">
        <v>5</v>
      </c>
      <c r="D36" t="s">
        <v>31</v>
      </c>
      <c r="E36" t="s">
        <v>32</v>
      </c>
      <c r="F36" t="s">
        <v>12</v>
      </c>
      <c r="G36" t="s">
        <v>41</v>
      </c>
      <c r="H36" t="s">
        <v>74</v>
      </c>
      <c r="I36">
        <v>15</v>
      </c>
      <c r="J36">
        <v>5</v>
      </c>
      <c r="K36" t="s">
        <v>30</v>
      </c>
      <c r="L36">
        <v>12981</v>
      </c>
    </row>
    <row r="37" spans="1:12" x14ac:dyDescent="0.25">
      <c r="A37" s="2">
        <v>46047</v>
      </c>
      <c r="B37" s="2">
        <v>46023</v>
      </c>
      <c r="C37" t="s">
        <v>5</v>
      </c>
      <c r="D37" t="s">
        <v>45</v>
      </c>
      <c r="E37" t="s">
        <v>36</v>
      </c>
      <c r="F37" t="s">
        <v>10</v>
      </c>
      <c r="G37" t="s">
        <v>41</v>
      </c>
      <c r="H37" t="s">
        <v>75</v>
      </c>
      <c r="I37">
        <v>20</v>
      </c>
      <c r="J37">
        <v>2</v>
      </c>
      <c r="K37" t="s">
        <v>30</v>
      </c>
      <c r="L37">
        <v>2658</v>
      </c>
    </row>
    <row r="38" spans="1:12" x14ac:dyDescent="0.25">
      <c r="A38" s="2">
        <v>46024</v>
      </c>
      <c r="B38" s="2">
        <v>46023</v>
      </c>
      <c r="C38" t="s">
        <v>2</v>
      </c>
      <c r="D38" t="s">
        <v>31</v>
      </c>
      <c r="E38" t="s">
        <v>36</v>
      </c>
      <c r="F38" t="s">
        <v>10</v>
      </c>
      <c r="G38" t="s">
        <v>28</v>
      </c>
      <c r="H38" t="s">
        <v>76</v>
      </c>
      <c r="I38">
        <v>10</v>
      </c>
      <c r="J38">
        <v>2</v>
      </c>
      <c r="K38" t="s">
        <v>30</v>
      </c>
      <c r="L38">
        <v>4474</v>
      </c>
    </row>
    <row r="39" spans="1:12" x14ac:dyDescent="0.25">
      <c r="A39" s="2">
        <v>46041</v>
      </c>
      <c r="B39" s="2">
        <v>46023</v>
      </c>
      <c r="C39" t="s">
        <v>2</v>
      </c>
      <c r="D39" t="s">
        <v>31</v>
      </c>
      <c r="E39" t="s">
        <v>27</v>
      </c>
      <c r="F39" t="s">
        <v>11</v>
      </c>
      <c r="G39" t="s">
        <v>28</v>
      </c>
      <c r="H39" t="s">
        <v>77</v>
      </c>
      <c r="I39">
        <v>18</v>
      </c>
      <c r="J39">
        <v>1</v>
      </c>
      <c r="K39" t="s">
        <v>30</v>
      </c>
      <c r="L39">
        <v>3035</v>
      </c>
    </row>
    <row r="40" spans="1:12" x14ac:dyDescent="0.25">
      <c r="A40" s="2">
        <v>46047</v>
      </c>
      <c r="B40" s="2">
        <v>46023</v>
      </c>
      <c r="C40" t="s">
        <v>6</v>
      </c>
      <c r="D40" t="s">
        <v>45</v>
      </c>
      <c r="E40" t="s">
        <v>27</v>
      </c>
      <c r="F40" t="s">
        <v>11</v>
      </c>
      <c r="G40" t="s">
        <v>28</v>
      </c>
      <c r="H40" t="s">
        <v>78</v>
      </c>
      <c r="I40">
        <v>10</v>
      </c>
      <c r="J40">
        <v>1</v>
      </c>
      <c r="K40" t="s">
        <v>30</v>
      </c>
      <c r="L40">
        <v>1414</v>
      </c>
    </row>
    <row r="41" spans="1:12" x14ac:dyDescent="0.25">
      <c r="A41" s="2">
        <v>46034</v>
      </c>
      <c r="B41" s="2">
        <v>46023</v>
      </c>
      <c r="C41" t="s">
        <v>6</v>
      </c>
      <c r="D41" t="s">
        <v>26</v>
      </c>
      <c r="E41" t="s">
        <v>32</v>
      </c>
      <c r="F41" t="s">
        <v>10</v>
      </c>
      <c r="G41" t="s">
        <v>33</v>
      </c>
      <c r="H41" t="s">
        <v>79</v>
      </c>
      <c r="I41">
        <v>12</v>
      </c>
      <c r="J41">
        <v>4</v>
      </c>
      <c r="K41" t="s">
        <v>30</v>
      </c>
      <c r="L41">
        <v>5634</v>
      </c>
    </row>
    <row r="42" spans="1:12" x14ac:dyDescent="0.25">
      <c r="A42" s="2">
        <v>46046</v>
      </c>
      <c r="B42" s="2">
        <v>46023</v>
      </c>
      <c r="C42" t="s">
        <v>6</v>
      </c>
      <c r="D42" t="s">
        <v>31</v>
      </c>
      <c r="E42" t="s">
        <v>27</v>
      </c>
      <c r="F42" t="s">
        <v>11</v>
      </c>
      <c r="G42" t="s">
        <v>28</v>
      </c>
      <c r="H42" t="s">
        <v>80</v>
      </c>
      <c r="I42">
        <v>12</v>
      </c>
      <c r="J42">
        <v>3</v>
      </c>
      <c r="K42" t="s">
        <v>30</v>
      </c>
      <c r="L42">
        <v>8396</v>
      </c>
    </row>
    <row r="43" spans="1:12" x14ac:dyDescent="0.25">
      <c r="A43" s="2">
        <v>46033</v>
      </c>
      <c r="B43" s="2">
        <v>46023</v>
      </c>
      <c r="C43" t="s">
        <v>2</v>
      </c>
      <c r="D43" t="s">
        <v>45</v>
      </c>
      <c r="E43" t="s">
        <v>32</v>
      </c>
      <c r="F43" t="s">
        <v>12</v>
      </c>
      <c r="G43" t="s">
        <v>28</v>
      </c>
      <c r="H43" t="s">
        <v>81</v>
      </c>
      <c r="I43">
        <v>10</v>
      </c>
      <c r="J43">
        <v>0</v>
      </c>
      <c r="K43" t="s">
        <v>30</v>
      </c>
      <c r="L43">
        <v>0</v>
      </c>
    </row>
    <row r="44" spans="1:12" x14ac:dyDescent="0.25">
      <c r="A44" s="2">
        <v>46031</v>
      </c>
      <c r="B44" s="2">
        <v>46023</v>
      </c>
      <c r="C44" t="s">
        <v>2</v>
      </c>
      <c r="D44" t="s">
        <v>31</v>
      </c>
      <c r="E44" t="s">
        <v>36</v>
      </c>
      <c r="F44" t="s">
        <v>11</v>
      </c>
      <c r="G44" t="s">
        <v>33</v>
      </c>
      <c r="H44" t="s">
        <v>82</v>
      </c>
      <c r="I44">
        <v>19</v>
      </c>
      <c r="J44">
        <v>1</v>
      </c>
      <c r="K44" t="s">
        <v>30</v>
      </c>
      <c r="L44">
        <v>2787</v>
      </c>
    </row>
    <row r="45" spans="1:12" x14ac:dyDescent="0.25">
      <c r="A45" s="2">
        <v>46032</v>
      </c>
      <c r="B45" s="2">
        <v>46023</v>
      </c>
      <c r="C45" t="s">
        <v>5</v>
      </c>
      <c r="D45" t="s">
        <v>35</v>
      </c>
      <c r="E45" t="s">
        <v>32</v>
      </c>
      <c r="F45" t="s">
        <v>12</v>
      </c>
      <c r="G45" t="s">
        <v>33</v>
      </c>
      <c r="H45" t="s">
        <v>83</v>
      </c>
      <c r="I45">
        <v>10</v>
      </c>
      <c r="J45">
        <v>0</v>
      </c>
      <c r="K45" t="s">
        <v>30</v>
      </c>
      <c r="L45">
        <v>0</v>
      </c>
    </row>
    <row r="46" spans="1:12" x14ac:dyDescent="0.25">
      <c r="A46" s="2">
        <v>46026</v>
      </c>
      <c r="B46" s="2">
        <v>46023</v>
      </c>
      <c r="C46" t="s">
        <v>2</v>
      </c>
      <c r="D46" t="s">
        <v>31</v>
      </c>
      <c r="E46" t="s">
        <v>27</v>
      </c>
      <c r="F46" t="s">
        <v>10</v>
      </c>
      <c r="G46" t="s">
        <v>33</v>
      </c>
      <c r="H46" t="s">
        <v>84</v>
      </c>
      <c r="I46">
        <v>13</v>
      </c>
      <c r="J46">
        <v>0</v>
      </c>
      <c r="K46" t="s">
        <v>30</v>
      </c>
      <c r="L46">
        <v>0</v>
      </c>
    </row>
    <row r="47" spans="1:12" x14ac:dyDescent="0.25">
      <c r="A47" s="2">
        <v>46023</v>
      </c>
      <c r="B47" s="2">
        <v>46023</v>
      </c>
      <c r="C47" t="s">
        <v>5</v>
      </c>
      <c r="D47" t="s">
        <v>45</v>
      </c>
      <c r="E47" t="s">
        <v>36</v>
      </c>
      <c r="F47" t="s">
        <v>10</v>
      </c>
      <c r="G47" t="s">
        <v>41</v>
      </c>
      <c r="H47" t="s">
        <v>85</v>
      </c>
      <c r="I47">
        <v>14</v>
      </c>
      <c r="J47">
        <v>3</v>
      </c>
      <c r="K47" t="s">
        <v>30</v>
      </c>
      <c r="L47">
        <v>5253</v>
      </c>
    </row>
    <row r="48" spans="1:12" x14ac:dyDescent="0.25">
      <c r="A48" s="2">
        <v>46033</v>
      </c>
      <c r="B48" s="2">
        <v>46023</v>
      </c>
      <c r="C48" t="s">
        <v>5</v>
      </c>
      <c r="D48" t="s">
        <v>45</v>
      </c>
      <c r="E48" t="s">
        <v>32</v>
      </c>
      <c r="F48" t="s">
        <v>10</v>
      </c>
      <c r="G48" t="s">
        <v>28</v>
      </c>
      <c r="H48" t="s">
        <v>86</v>
      </c>
      <c r="I48">
        <v>14</v>
      </c>
      <c r="J48">
        <v>0</v>
      </c>
      <c r="K48" t="s">
        <v>30</v>
      </c>
      <c r="L48">
        <v>0</v>
      </c>
    </row>
    <row r="49" spans="1:12" x14ac:dyDescent="0.25">
      <c r="A49" s="2">
        <v>46035</v>
      </c>
      <c r="B49" s="2">
        <v>46023</v>
      </c>
      <c r="C49" t="s">
        <v>5</v>
      </c>
      <c r="D49" t="s">
        <v>31</v>
      </c>
      <c r="E49" t="s">
        <v>36</v>
      </c>
      <c r="F49" t="s">
        <v>12</v>
      </c>
      <c r="G49" t="s">
        <v>41</v>
      </c>
      <c r="H49" t="s">
        <v>87</v>
      </c>
      <c r="I49">
        <v>22</v>
      </c>
      <c r="J49">
        <v>3</v>
      </c>
      <c r="K49" t="s">
        <v>30</v>
      </c>
      <c r="L49">
        <v>10288</v>
      </c>
    </row>
    <row r="50" spans="1:12" x14ac:dyDescent="0.25">
      <c r="A50" s="2">
        <v>46036</v>
      </c>
      <c r="B50" s="2">
        <v>46023</v>
      </c>
      <c r="C50" t="s">
        <v>5</v>
      </c>
      <c r="D50" t="s">
        <v>59</v>
      </c>
      <c r="E50" t="s">
        <v>32</v>
      </c>
      <c r="F50" t="s">
        <v>10</v>
      </c>
      <c r="G50" t="s">
        <v>41</v>
      </c>
      <c r="H50" t="s">
        <v>88</v>
      </c>
      <c r="I50">
        <v>11</v>
      </c>
      <c r="J50">
        <v>3</v>
      </c>
      <c r="K50" t="s">
        <v>30</v>
      </c>
      <c r="L50">
        <v>7281</v>
      </c>
    </row>
    <row r="51" spans="1:12" x14ac:dyDescent="0.25">
      <c r="A51" s="2">
        <v>46038</v>
      </c>
      <c r="B51" s="2">
        <v>46023</v>
      </c>
      <c r="C51" t="s">
        <v>5</v>
      </c>
      <c r="D51" t="s">
        <v>31</v>
      </c>
      <c r="E51" t="s">
        <v>36</v>
      </c>
      <c r="F51" t="s">
        <v>10</v>
      </c>
      <c r="G51" t="s">
        <v>41</v>
      </c>
      <c r="H51" t="s">
        <v>89</v>
      </c>
      <c r="I51">
        <v>7</v>
      </c>
      <c r="J51">
        <v>1</v>
      </c>
      <c r="K51" t="s">
        <v>30</v>
      </c>
      <c r="L51">
        <v>3042</v>
      </c>
    </row>
    <row r="52" spans="1:12" x14ac:dyDescent="0.25">
      <c r="A52" s="2">
        <v>46035</v>
      </c>
      <c r="B52" s="2">
        <v>46023</v>
      </c>
      <c r="C52" t="s">
        <v>6</v>
      </c>
      <c r="D52" t="s">
        <v>35</v>
      </c>
      <c r="E52" t="s">
        <v>27</v>
      </c>
      <c r="F52" t="s">
        <v>12</v>
      </c>
      <c r="G52" t="s">
        <v>28</v>
      </c>
      <c r="H52" t="s">
        <v>90</v>
      </c>
      <c r="I52">
        <v>6</v>
      </c>
      <c r="J52">
        <v>2</v>
      </c>
      <c r="K52" t="s">
        <v>30</v>
      </c>
      <c r="L52">
        <v>2448</v>
      </c>
    </row>
    <row r="53" spans="1:12" x14ac:dyDescent="0.25">
      <c r="A53" s="2">
        <v>46033</v>
      </c>
      <c r="B53" s="2">
        <v>46023</v>
      </c>
      <c r="C53" t="s">
        <v>6</v>
      </c>
      <c r="D53" t="s">
        <v>31</v>
      </c>
      <c r="E53" t="s">
        <v>36</v>
      </c>
      <c r="F53" t="s">
        <v>11</v>
      </c>
      <c r="G53" t="s">
        <v>41</v>
      </c>
      <c r="H53" t="s">
        <v>91</v>
      </c>
      <c r="I53">
        <v>7</v>
      </c>
      <c r="J53">
        <v>2</v>
      </c>
      <c r="K53" t="s">
        <v>30</v>
      </c>
      <c r="L53">
        <v>6922</v>
      </c>
    </row>
    <row r="54" spans="1:12" x14ac:dyDescent="0.25">
      <c r="A54" s="2">
        <v>46030</v>
      </c>
      <c r="B54" s="2">
        <v>46023</v>
      </c>
      <c r="C54" t="s">
        <v>2</v>
      </c>
      <c r="D54" t="s">
        <v>35</v>
      </c>
      <c r="E54" t="s">
        <v>36</v>
      </c>
      <c r="F54" t="s">
        <v>10</v>
      </c>
      <c r="G54" t="s">
        <v>33</v>
      </c>
      <c r="H54" t="s">
        <v>92</v>
      </c>
      <c r="I54">
        <v>17</v>
      </c>
      <c r="J54">
        <v>5</v>
      </c>
      <c r="K54" t="s">
        <v>30</v>
      </c>
      <c r="L54">
        <v>6141</v>
      </c>
    </row>
    <row r="55" spans="1:12" x14ac:dyDescent="0.25">
      <c r="A55" s="2">
        <v>46044</v>
      </c>
      <c r="B55" s="2">
        <v>46023</v>
      </c>
      <c r="C55" t="s">
        <v>2</v>
      </c>
      <c r="D55" t="s">
        <v>31</v>
      </c>
      <c r="E55" t="s">
        <v>36</v>
      </c>
      <c r="F55" t="s">
        <v>11</v>
      </c>
      <c r="G55" t="s">
        <v>28</v>
      </c>
      <c r="H55" t="s">
        <v>93</v>
      </c>
      <c r="I55">
        <v>7</v>
      </c>
      <c r="J55">
        <v>0</v>
      </c>
      <c r="K55" t="s">
        <v>30</v>
      </c>
      <c r="L55">
        <v>0</v>
      </c>
    </row>
    <row r="56" spans="1:12" x14ac:dyDescent="0.25">
      <c r="A56" s="2">
        <v>46028</v>
      </c>
      <c r="B56" s="2">
        <v>46023</v>
      </c>
      <c r="C56" t="s">
        <v>5</v>
      </c>
      <c r="D56" t="s">
        <v>31</v>
      </c>
      <c r="E56" t="s">
        <v>32</v>
      </c>
      <c r="F56" t="s">
        <v>12</v>
      </c>
      <c r="G56" t="s">
        <v>41</v>
      </c>
      <c r="H56" t="s">
        <v>94</v>
      </c>
      <c r="I56">
        <v>18</v>
      </c>
      <c r="J56">
        <v>5</v>
      </c>
      <c r="K56" t="s">
        <v>30</v>
      </c>
      <c r="L56">
        <v>18587</v>
      </c>
    </row>
    <row r="57" spans="1:12" x14ac:dyDescent="0.25">
      <c r="A57" s="2">
        <v>46045</v>
      </c>
      <c r="B57" s="2">
        <v>46023</v>
      </c>
      <c r="C57" t="s">
        <v>2</v>
      </c>
      <c r="D57" t="s">
        <v>31</v>
      </c>
      <c r="E57" t="s">
        <v>27</v>
      </c>
      <c r="F57" t="s">
        <v>12</v>
      </c>
      <c r="G57" t="s">
        <v>28</v>
      </c>
      <c r="H57" t="s">
        <v>95</v>
      </c>
      <c r="I57">
        <v>20</v>
      </c>
      <c r="J57">
        <v>6</v>
      </c>
      <c r="K57" t="s">
        <v>30</v>
      </c>
      <c r="L57">
        <v>21014</v>
      </c>
    </row>
    <row r="58" spans="1:12" x14ac:dyDescent="0.25">
      <c r="A58" s="2">
        <v>46047</v>
      </c>
      <c r="B58" s="2">
        <v>46023</v>
      </c>
      <c r="C58" t="s">
        <v>2</v>
      </c>
      <c r="D58" t="s">
        <v>35</v>
      </c>
      <c r="E58" t="s">
        <v>27</v>
      </c>
      <c r="F58" t="s">
        <v>11</v>
      </c>
      <c r="G58" t="s">
        <v>41</v>
      </c>
      <c r="H58" t="s">
        <v>96</v>
      </c>
      <c r="I58">
        <v>3</v>
      </c>
      <c r="J58">
        <v>1</v>
      </c>
      <c r="K58" t="s">
        <v>30</v>
      </c>
      <c r="L58">
        <v>3359</v>
      </c>
    </row>
    <row r="59" spans="1:12" x14ac:dyDescent="0.25">
      <c r="A59" s="2">
        <v>46030</v>
      </c>
      <c r="B59" s="2">
        <v>46023</v>
      </c>
      <c r="C59" t="s">
        <v>5</v>
      </c>
      <c r="D59" t="s">
        <v>31</v>
      </c>
      <c r="E59" t="s">
        <v>32</v>
      </c>
      <c r="F59" t="s">
        <v>10</v>
      </c>
      <c r="G59" t="s">
        <v>41</v>
      </c>
      <c r="H59" t="s">
        <v>97</v>
      </c>
      <c r="I59">
        <v>17</v>
      </c>
      <c r="J59">
        <v>3</v>
      </c>
      <c r="K59" t="s">
        <v>30</v>
      </c>
      <c r="L59">
        <v>9802</v>
      </c>
    </row>
    <row r="60" spans="1:12" x14ac:dyDescent="0.25">
      <c r="A60" s="2">
        <v>46039</v>
      </c>
      <c r="B60" s="2">
        <v>46023</v>
      </c>
      <c r="C60" t="s">
        <v>5</v>
      </c>
      <c r="D60" t="s">
        <v>31</v>
      </c>
      <c r="E60" t="s">
        <v>27</v>
      </c>
      <c r="F60" t="s">
        <v>11</v>
      </c>
      <c r="G60" t="s">
        <v>33</v>
      </c>
      <c r="H60" t="s">
        <v>98</v>
      </c>
      <c r="I60">
        <v>4</v>
      </c>
      <c r="J60">
        <v>1</v>
      </c>
      <c r="K60" t="s">
        <v>30</v>
      </c>
      <c r="L60">
        <v>2402</v>
      </c>
    </row>
    <row r="61" spans="1:12" x14ac:dyDescent="0.25">
      <c r="A61" s="2">
        <v>46028</v>
      </c>
      <c r="B61" s="2">
        <v>46023</v>
      </c>
      <c r="C61" t="s">
        <v>2</v>
      </c>
      <c r="D61" t="s">
        <v>31</v>
      </c>
      <c r="E61" t="s">
        <v>27</v>
      </c>
      <c r="F61" t="s">
        <v>10</v>
      </c>
      <c r="G61" t="s">
        <v>33</v>
      </c>
      <c r="H61" t="s">
        <v>99</v>
      </c>
      <c r="I61">
        <v>19</v>
      </c>
      <c r="J61">
        <v>1</v>
      </c>
      <c r="K61" t="s">
        <v>30</v>
      </c>
      <c r="L61">
        <v>1414</v>
      </c>
    </row>
    <row r="62" spans="1:12" x14ac:dyDescent="0.25">
      <c r="A62" s="2">
        <v>46032</v>
      </c>
      <c r="B62" s="2">
        <v>46023</v>
      </c>
      <c r="C62" t="s">
        <v>6</v>
      </c>
      <c r="D62" t="s">
        <v>59</v>
      </c>
      <c r="E62" t="s">
        <v>36</v>
      </c>
      <c r="F62" t="s">
        <v>11</v>
      </c>
      <c r="G62" t="s">
        <v>41</v>
      </c>
      <c r="H62" t="s">
        <v>100</v>
      </c>
      <c r="I62">
        <v>9</v>
      </c>
      <c r="J62">
        <v>0</v>
      </c>
      <c r="K62" t="s">
        <v>30</v>
      </c>
      <c r="L62">
        <v>0</v>
      </c>
    </row>
    <row r="63" spans="1:12" x14ac:dyDescent="0.25">
      <c r="A63" s="2">
        <v>46024</v>
      </c>
      <c r="B63" s="2">
        <v>46023</v>
      </c>
      <c r="C63" t="s">
        <v>2</v>
      </c>
      <c r="D63" t="s">
        <v>31</v>
      </c>
      <c r="E63" t="s">
        <v>27</v>
      </c>
      <c r="F63" t="s">
        <v>12</v>
      </c>
      <c r="G63" t="s">
        <v>41</v>
      </c>
      <c r="H63" t="s">
        <v>101</v>
      </c>
      <c r="I63">
        <v>12</v>
      </c>
      <c r="J63">
        <v>0</v>
      </c>
      <c r="K63" t="s">
        <v>30</v>
      </c>
      <c r="L63">
        <v>0</v>
      </c>
    </row>
    <row r="64" spans="1:12" x14ac:dyDescent="0.25">
      <c r="A64" s="2">
        <v>46023</v>
      </c>
      <c r="B64" s="2">
        <v>46023</v>
      </c>
      <c r="C64" t="s">
        <v>5</v>
      </c>
      <c r="D64" t="s">
        <v>59</v>
      </c>
      <c r="E64" t="s">
        <v>27</v>
      </c>
      <c r="F64" t="s">
        <v>10</v>
      </c>
      <c r="G64" t="s">
        <v>28</v>
      </c>
      <c r="H64" t="s">
        <v>102</v>
      </c>
      <c r="I64">
        <v>9</v>
      </c>
      <c r="J64">
        <v>0</v>
      </c>
      <c r="K64" t="s">
        <v>30</v>
      </c>
      <c r="L64">
        <v>0</v>
      </c>
    </row>
    <row r="65" spans="1:12" x14ac:dyDescent="0.25">
      <c r="A65" s="2">
        <v>46041</v>
      </c>
      <c r="B65" s="2">
        <v>46023</v>
      </c>
      <c r="C65" t="s">
        <v>2</v>
      </c>
      <c r="D65" t="s">
        <v>26</v>
      </c>
      <c r="E65" t="s">
        <v>36</v>
      </c>
      <c r="F65" t="s">
        <v>10</v>
      </c>
      <c r="G65" t="s">
        <v>28</v>
      </c>
      <c r="H65" t="s">
        <v>103</v>
      </c>
      <c r="I65">
        <v>4</v>
      </c>
      <c r="J65">
        <v>0</v>
      </c>
      <c r="K65" t="s">
        <v>52</v>
      </c>
      <c r="L65">
        <v>0</v>
      </c>
    </row>
    <row r="66" spans="1:12" x14ac:dyDescent="0.25">
      <c r="A66" s="2">
        <v>46042</v>
      </c>
      <c r="B66" s="2">
        <v>46023</v>
      </c>
      <c r="C66" t="s">
        <v>5</v>
      </c>
      <c r="D66" t="s">
        <v>26</v>
      </c>
      <c r="E66" t="s">
        <v>36</v>
      </c>
      <c r="F66" t="s">
        <v>12</v>
      </c>
      <c r="G66" t="s">
        <v>41</v>
      </c>
      <c r="H66" t="s">
        <v>104</v>
      </c>
      <c r="I66">
        <v>21</v>
      </c>
      <c r="J66">
        <v>2</v>
      </c>
      <c r="K66" t="s">
        <v>30</v>
      </c>
      <c r="L66">
        <v>6511</v>
      </c>
    </row>
    <row r="67" spans="1:12" x14ac:dyDescent="0.25">
      <c r="A67" s="2">
        <v>46037</v>
      </c>
      <c r="B67" s="2">
        <v>46023</v>
      </c>
      <c r="C67" t="s">
        <v>6</v>
      </c>
      <c r="D67" t="s">
        <v>35</v>
      </c>
      <c r="E67" t="s">
        <v>32</v>
      </c>
      <c r="F67" t="s">
        <v>11</v>
      </c>
      <c r="G67" t="s">
        <v>28</v>
      </c>
      <c r="H67" t="s">
        <v>105</v>
      </c>
      <c r="I67">
        <v>19</v>
      </c>
      <c r="J67">
        <v>1</v>
      </c>
      <c r="K67" t="s">
        <v>30</v>
      </c>
      <c r="L67">
        <v>3014</v>
      </c>
    </row>
    <row r="68" spans="1:12" x14ac:dyDescent="0.25">
      <c r="A68" s="2">
        <v>46045</v>
      </c>
      <c r="B68" s="2">
        <v>46023</v>
      </c>
      <c r="C68" t="s">
        <v>5</v>
      </c>
      <c r="D68" t="s">
        <v>35</v>
      </c>
      <c r="E68" t="s">
        <v>36</v>
      </c>
      <c r="F68" t="s">
        <v>10</v>
      </c>
      <c r="G68" t="s">
        <v>41</v>
      </c>
      <c r="H68" t="s">
        <v>106</v>
      </c>
      <c r="I68">
        <v>18</v>
      </c>
      <c r="J68">
        <v>5</v>
      </c>
      <c r="K68" t="s">
        <v>30</v>
      </c>
      <c r="L68">
        <v>14089</v>
      </c>
    </row>
    <row r="69" spans="1:12" x14ac:dyDescent="0.25">
      <c r="A69" s="2">
        <v>46027</v>
      </c>
      <c r="B69" s="2">
        <v>46023</v>
      </c>
      <c r="C69" t="s">
        <v>2</v>
      </c>
      <c r="D69" t="s">
        <v>59</v>
      </c>
      <c r="E69" t="s">
        <v>32</v>
      </c>
      <c r="F69" t="s">
        <v>10</v>
      </c>
      <c r="G69" t="s">
        <v>28</v>
      </c>
      <c r="H69" t="s">
        <v>107</v>
      </c>
      <c r="I69">
        <v>19</v>
      </c>
      <c r="J69">
        <v>3</v>
      </c>
      <c r="K69" t="s">
        <v>30</v>
      </c>
      <c r="L69">
        <v>5943</v>
      </c>
    </row>
    <row r="70" spans="1:12" x14ac:dyDescent="0.25">
      <c r="A70" s="2">
        <v>46034</v>
      </c>
      <c r="B70" s="2">
        <v>46023</v>
      </c>
      <c r="C70" t="s">
        <v>5</v>
      </c>
      <c r="D70" t="s">
        <v>31</v>
      </c>
      <c r="E70" t="s">
        <v>36</v>
      </c>
      <c r="F70" t="s">
        <v>12</v>
      </c>
      <c r="G70" t="s">
        <v>33</v>
      </c>
      <c r="H70" t="s">
        <v>108</v>
      </c>
      <c r="I70">
        <v>7</v>
      </c>
      <c r="J70">
        <v>2</v>
      </c>
      <c r="K70" t="s">
        <v>30</v>
      </c>
      <c r="L70">
        <v>4209</v>
      </c>
    </row>
    <row r="71" spans="1:12" x14ac:dyDescent="0.25">
      <c r="A71" s="2">
        <v>46043</v>
      </c>
      <c r="B71" s="2">
        <v>46023</v>
      </c>
      <c r="C71" t="s">
        <v>5</v>
      </c>
      <c r="D71" t="s">
        <v>26</v>
      </c>
      <c r="E71" t="s">
        <v>36</v>
      </c>
      <c r="F71" t="s">
        <v>11</v>
      </c>
      <c r="G71" t="s">
        <v>41</v>
      </c>
      <c r="H71" t="s">
        <v>109</v>
      </c>
      <c r="I71">
        <v>11</v>
      </c>
      <c r="J71">
        <v>2</v>
      </c>
      <c r="K71" t="s">
        <v>30</v>
      </c>
      <c r="L71">
        <v>2484</v>
      </c>
    </row>
    <row r="72" spans="1:12" x14ac:dyDescent="0.25">
      <c r="A72" s="2">
        <v>46030</v>
      </c>
      <c r="B72" s="2">
        <v>46023</v>
      </c>
      <c r="C72" t="s">
        <v>2</v>
      </c>
      <c r="D72" t="s">
        <v>45</v>
      </c>
      <c r="E72" t="s">
        <v>32</v>
      </c>
      <c r="F72" t="s">
        <v>10</v>
      </c>
      <c r="G72" t="s">
        <v>33</v>
      </c>
      <c r="H72" t="s">
        <v>110</v>
      </c>
      <c r="I72">
        <v>17</v>
      </c>
      <c r="J72">
        <v>3</v>
      </c>
      <c r="K72" t="s">
        <v>30</v>
      </c>
      <c r="L72">
        <v>3448</v>
      </c>
    </row>
    <row r="73" spans="1:12" x14ac:dyDescent="0.25">
      <c r="A73" s="2">
        <v>46048</v>
      </c>
      <c r="B73" s="2">
        <v>46023</v>
      </c>
      <c r="C73" t="s">
        <v>2</v>
      </c>
      <c r="D73" t="s">
        <v>26</v>
      </c>
      <c r="E73" t="s">
        <v>32</v>
      </c>
      <c r="F73" t="s">
        <v>11</v>
      </c>
      <c r="G73" t="s">
        <v>41</v>
      </c>
      <c r="H73" t="s">
        <v>111</v>
      </c>
      <c r="I73">
        <v>12</v>
      </c>
      <c r="J73">
        <v>0</v>
      </c>
      <c r="K73" t="s">
        <v>52</v>
      </c>
      <c r="L73">
        <v>0</v>
      </c>
    </row>
    <row r="74" spans="1:12" x14ac:dyDescent="0.25">
      <c r="A74" s="2">
        <v>46047</v>
      </c>
      <c r="B74" s="2">
        <v>46023</v>
      </c>
      <c r="C74" t="s">
        <v>2</v>
      </c>
      <c r="D74" t="s">
        <v>35</v>
      </c>
      <c r="E74" t="s">
        <v>32</v>
      </c>
      <c r="F74" t="s">
        <v>11</v>
      </c>
      <c r="G74" t="s">
        <v>33</v>
      </c>
      <c r="H74" t="s">
        <v>112</v>
      </c>
      <c r="I74">
        <v>17</v>
      </c>
      <c r="J74">
        <v>2</v>
      </c>
      <c r="K74" t="s">
        <v>30</v>
      </c>
      <c r="L74">
        <v>4739</v>
      </c>
    </row>
    <row r="75" spans="1:12" x14ac:dyDescent="0.25">
      <c r="A75" s="2">
        <v>46027</v>
      </c>
      <c r="B75" s="2">
        <v>46023</v>
      </c>
      <c r="C75" t="s">
        <v>2</v>
      </c>
      <c r="D75" t="s">
        <v>26</v>
      </c>
      <c r="E75" t="s">
        <v>27</v>
      </c>
      <c r="F75" t="s">
        <v>11</v>
      </c>
      <c r="G75" t="s">
        <v>33</v>
      </c>
      <c r="H75" t="s">
        <v>113</v>
      </c>
      <c r="I75">
        <v>5</v>
      </c>
      <c r="J75">
        <v>1</v>
      </c>
      <c r="K75" t="s">
        <v>30</v>
      </c>
      <c r="L75">
        <v>2207</v>
      </c>
    </row>
    <row r="76" spans="1:12" x14ac:dyDescent="0.25">
      <c r="A76" s="2">
        <v>46026</v>
      </c>
      <c r="B76" s="2">
        <v>46023</v>
      </c>
      <c r="C76" t="s">
        <v>5</v>
      </c>
      <c r="D76" t="s">
        <v>45</v>
      </c>
      <c r="E76" t="s">
        <v>36</v>
      </c>
      <c r="F76" t="s">
        <v>12</v>
      </c>
      <c r="G76" t="s">
        <v>33</v>
      </c>
      <c r="H76" t="s">
        <v>114</v>
      </c>
      <c r="I76">
        <v>18</v>
      </c>
      <c r="J76">
        <v>0</v>
      </c>
      <c r="K76" t="s">
        <v>52</v>
      </c>
      <c r="L76">
        <v>0</v>
      </c>
    </row>
    <row r="77" spans="1:12" x14ac:dyDescent="0.25">
      <c r="A77" s="2">
        <v>46043</v>
      </c>
      <c r="B77" s="2">
        <v>46023</v>
      </c>
      <c r="C77" t="s">
        <v>2</v>
      </c>
      <c r="D77" t="s">
        <v>31</v>
      </c>
      <c r="E77" t="s">
        <v>36</v>
      </c>
      <c r="F77" t="s">
        <v>12</v>
      </c>
      <c r="G77" t="s">
        <v>28</v>
      </c>
      <c r="H77" t="s">
        <v>115</v>
      </c>
      <c r="I77">
        <v>15</v>
      </c>
      <c r="J77">
        <v>0</v>
      </c>
      <c r="K77" t="s">
        <v>30</v>
      </c>
      <c r="L77">
        <v>0</v>
      </c>
    </row>
    <row r="78" spans="1:12" x14ac:dyDescent="0.25">
      <c r="A78" s="2">
        <v>46045</v>
      </c>
      <c r="B78" s="2">
        <v>46023</v>
      </c>
      <c r="C78" t="s">
        <v>2</v>
      </c>
      <c r="D78" t="s">
        <v>35</v>
      </c>
      <c r="E78" t="s">
        <v>36</v>
      </c>
      <c r="F78" t="s">
        <v>11</v>
      </c>
      <c r="G78" t="s">
        <v>28</v>
      </c>
      <c r="H78" t="s">
        <v>116</v>
      </c>
      <c r="I78">
        <v>15</v>
      </c>
      <c r="J78">
        <v>2</v>
      </c>
      <c r="K78" t="s">
        <v>30</v>
      </c>
      <c r="L78">
        <v>2889</v>
      </c>
    </row>
    <row r="79" spans="1:12" x14ac:dyDescent="0.25">
      <c r="A79" s="2">
        <v>46034</v>
      </c>
      <c r="B79" s="2">
        <v>46023</v>
      </c>
      <c r="C79" t="s">
        <v>2</v>
      </c>
      <c r="D79" t="s">
        <v>31</v>
      </c>
      <c r="E79" t="s">
        <v>32</v>
      </c>
      <c r="F79" t="s">
        <v>12</v>
      </c>
      <c r="G79" t="s">
        <v>41</v>
      </c>
      <c r="H79" t="s">
        <v>117</v>
      </c>
      <c r="I79">
        <v>5</v>
      </c>
      <c r="J79">
        <v>1</v>
      </c>
      <c r="K79" t="s">
        <v>30</v>
      </c>
      <c r="L79">
        <v>1820</v>
      </c>
    </row>
    <row r="80" spans="1:12" x14ac:dyDescent="0.25">
      <c r="A80" s="2">
        <v>46042</v>
      </c>
      <c r="B80" s="2">
        <v>46023</v>
      </c>
      <c r="C80" t="s">
        <v>2</v>
      </c>
      <c r="D80" t="s">
        <v>59</v>
      </c>
      <c r="E80" t="s">
        <v>36</v>
      </c>
      <c r="F80" t="s">
        <v>11</v>
      </c>
      <c r="G80" t="s">
        <v>28</v>
      </c>
      <c r="H80" t="s">
        <v>118</v>
      </c>
      <c r="I80">
        <v>12</v>
      </c>
      <c r="J80">
        <v>1</v>
      </c>
      <c r="K80" t="s">
        <v>30</v>
      </c>
      <c r="L80">
        <v>3414</v>
      </c>
    </row>
    <row r="81" spans="1:12" x14ac:dyDescent="0.25">
      <c r="A81" s="2">
        <v>46025</v>
      </c>
      <c r="B81" s="2">
        <v>46023</v>
      </c>
      <c r="C81" t="s">
        <v>2</v>
      </c>
      <c r="D81" t="s">
        <v>35</v>
      </c>
      <c r="E81" t="s">
        <v>36</v>
      </c>
      <c r="F81" t="s">
        <v>10</v>
      </c>
      <c r="G81" t="s">
        <v>33</v>
      </c>
      <c r="H81" t="s">
        <v>119</v>
      </c>
      <c r="I81">
        <v>15</v>
      </c>
      <c r="J81">
        <v>4</v>
      </c>
      <c r="K81" t="s">
        <v>30</v>
      </c>
      <c r="L81">
        <v>9173</v>
      </c>
    </row>
    <row r="82" spans="1:12" x14ac:dyDescent="0.25">
      <c r="A82" s="2">
        <v>46060</v>
      </c>
      <c r="B82" s="2">
        <v>46054</v>
      </c>
      <c r="C82" t="s">
        <v>2</v>
      </c>
      <c r="D82" t="s">
        <v>45</v>
      </c>
      <c r="E82" t="s">
        <v>32</v>
      </c>
      <c r="F82" t="s">
        <v>11</v>
      </c>
      <c r="G82" t="s">
        <v>28</v>
      </c>
      <c r="H82" t="s">
        <v>120</v>
      </c>
      <c r="I82">
        <v>14</v>
      </c>
      <c r="J82">
        <v>0</v>
      </c>
      <c r="K82" t="s">
        <v>30</v>
      </c>
      <c r="L82">
        <v>0</v>
      </c>
    </row>
    <row r="83" spans="1:12" x14ac:dyDescent="0.25">
      <c r="A83" s="2">
        <v>46081</v>
      </c>
      <c r="B83" s="2">
        <v>46054</v>
      </c>
      <c r="C83" t="s">
        <v>2</v>
      </c>
      <c r="D83" t="s">
        <v>59</v>
      </c>
      <c r="E83" t="s">
        <v>27</v>
      </c>
      <c r="F83" t="s">
        <v>11</v>
      </c>
      <c r="G83" t="s">
        <v>41</v>
      </c>
      <c r="H83" t="s">
        <v>121</v>
      </c>
      <c r="I83">
        <v>8</v>
      </c>
      <c r="J83">
        <v>1</v>
      </c>
      <c r="K83" t="s">
        <v>30</v>
      </c>
      <c r="L83">
        <v>2232</v>
      </c>
    </row>
    <row r="84" spans="1:12" x14ac:dyDescent="0.25">
      <c r="A84" s="2">
        <v>46068</v>
      </c>
      <c r="B84" s="2">
        <v>46054</v>
      </c>
      <c r="C84" t="s">
        <v>5</v>
      </c>
      <c r="D84" t="s">
        <v>26</v>
      </c>
      <c r="E84" t="s">
        <v>32</v>
      </c>
      <c r="F84" t="s">
        <v>11</v>
      </c>
      <c r="G84" t="s">
        <v>28</v>
      </c>
      <c r="H84" t="s">
        <v>122</v>
      </c>
      <c r="I84">
        <v>17</v>
      </c>
      <c r="J84">
        <v>1</v>
      </c>
      <c r="K84" t="s">
        <v>30</v>
      </c>
      <c r="L84">
        <v>3784</v>
      </c>
    </row>
    <row r="85" spans="1:12" x14ac:dyDescent="0.25">
      <c r="A85" s="2">
        <v>46077</v>
      </c>
      <c r="B85" s="2">
        <v>46054</v>
      </c>
      <c r="C85" t="s">
        <v>2</v>
      </c>
      <c r="D85" t="s">
        <v>26</v>
      </c>
      <c r="E85" t="s">
        <v>27</v>
      </c>
      <c r="F85" t="s">
        <v>10</v>
      </c>
      <c r="G85" t="s">
        <v>33</v>
      </c>
      <c r="H85" t="s">
        <v>123</v>
      </c>
      <c r="I85">
        <v>21</v>
      </c>
      <c r="J85">
        <v>0</v>
      </c>
      <c r="K85" t="s">
        <v>30</v>
      </c>
      <c r="L85">
        <v>0</v>
      </c>
    </row>
    <row r="86" spans="1:12" x14ac:dyDescent="0.25">
      <c r="A86" s="2">
        <v>46073</v>
      </c>
      <c r="B86" s="2">
        <v>46054</v>
      </c>
      <c r="C86" t="s">
        <v>2</v>
      </c>
      <c r="D86" t="s">
        <v>31</v>
      </c>
      <c r="E86" t="s">
        <v>36</v>
      </c>
      <c r="F86" t="s">
        <v>12</v>
      </c>
      <c r="G86" t="s">
        <v>28</v>
      </c>
      <c r="H86" t="s">
        <v>124</v>
      </c>
      <c r="I86">
        <v>20</v>
      </c>
      <c r="J86">
        <v>1</v>
      </c>
      <c r="K86" t="s">
        <v>30</v>
      </c>
      <c r="L86">
        <v>1392</v>
      </c>
    </row>
    <row r="87" spans="1:12" x14ac:dyDescent="0.25">
      <c r="A87" s="2">
        <v>46080</v>
      </c>
      <c r="B87" s="2">
        <v>46054</v>
      </c>
      <c r="C87" t="s">
        <v>5</v>
      </c>
      <c r="D87" t="s">
        <v>45</v>
      </c>
      <c r="E87" t="s">
        <v>32</v>
      </c>
      <c r="F87" t="s">
        <v>12</v>
      </c>
      <c r="G87" t="s">
        <v>41</v>
      </c>
      <c r="H87" t="s">
        <v>125</v>
      </c>
      <c r="I87">
        <v>7</v>
      </c>
      <c r="J87">
        <v>1</v>
      </c>
      <c r="K87" t="s">
        <v>30</v>
      </c>
      <c r="L87">
        <v>3324</v>
      </c>
    </row>
    <row r="88" spans="1:12" x14ac:dyDescent="0.25">
      <c r="A88" s="2">
        <v>46055</v>
      </c>
      <c r="B88" s="2">
        <v>46054</v>
      </c>
      <c r="C88" t="s">
        <v>5</v>
      </c>
      <c r="D88" t="s">
        <v>45</v>
      </c>
      <c r="E88" t="s">
        <v>27</v>
      </c>
      <c r="F88" t="s">
        <v>11</v>
      </c>
      <c r="G88" t="s">
        <v>33</v>
      </c>
      <c r="H88" t="s">
        <v>126</v>
      </c>
      <c r="I88">
        <v>9</v>
      </c>
      <c r="J88">
        <v>1</v>
      </c>
      <c r="K88" t="s">
        <v>30</v>
      </c>
      <c r="L88">
        <v>3100</v>
      </c>
    </row>
    <row r="89" spans="1:12" x14ac:dyDescent="0.25">
      <c r="A89" s="2">
        <v>46063</v>
      </c>
      <c r="B89" s="2">
        <v>46054</v>
      </c>
      <c r="C89" t="s">
        <v>2</v>
      </c>
      <c r="D89" t="s">
        <v>31</v>
      </c>
      <c r="E89" t="s">
        <v>36</v>
      </c>
      <c r="F89" t="s">
        <v>10</v>
      </c>
      <c r="G89" t="s">
        <v>28</v>
      </c>
      <c r="H89" t="s">
        <v>127</v>
      </c>
      <c r="I89">
        <v>22</v>
      </c>
      <c r="J89">
        <v>2</v>
      </c>
      <c r="K89" t="s">
        <v>30</v>
      </c>
      <c r="L89">
        <v>2428</v>
      </c>
    </row>
    <row r="90" spans="1:12" x14ac:dyDescent="0.25">
      <c r="A90" s="2">
        <v>46065</v>
      </c>
      <c r="B90" s="2">
        <v>46054</v>
      </c>
      <c r="C90" t="s">
        <v>6</v>
      </c>
      <c r="D90" t="s">
        <v>45</v>
      </c>
      <c r="E90" t="s">
        <v>32</v>
      </c>
      <c r="F90" t="s">
        <v>12</v>
      </c>
      <c r="G90" t="s">
        <v>28</v>
      </c>
      <c r="H90" t="s">
        <v>128</v>
      </c>
      <c r="I90">
        <v>9</v>
      </c>
      <c r="J90">
        <v>3</v>
      </c>
      <c r="K90" t="s">
        <v>30</v>
      </c>
      <c r="L90">
        <v>5117</v>
      </c>
    </row>
    <row r="91" spans="1:12" x14ac:dyDescent="0.25">
      <c r="A91" s="2">
        <v>46071</v>
      </c>
      <c r="B91" s="2">
        <v>46054</v>
      </c>
      <c r="C91" t="s">
        <v>6</v>
      </c>
      <c r="D91" t="s">
        <v>45</v>
      </c>
      <c r="E91" t="s">
        <v>32</v>
      </c>
      <c r="F91" t="s">
        <v>10</v>
      </c>
      <c r="G91" t="s">
        <v>28</v>
      </c>
      <c r="H91" t="s">
        <v>129</v>
      </c>
      <c r="I91">
        <v>19</v>
      </c>
      <c r="J91">
        <v>3</v>
      </c>
      <c r="K91" t="s">
        <v>30</v>
      </c>
      <c r="L91">
        <v>2784</v>
      </c>
    </row>
    <row r="92" spans="1:12" x14ac:dyDescent="0.25">
      <c r="A92" s="2">
        <v>46080</v>
      </c>
      <c r="B92" s="2">
        <v>46054</v>
      </c>
      <c r="C92" t="s">
        <v>2</v>
      </c>
      <c r="D92" t="s">
        <v>45</v>
      </c>
      <c r="E92" t="s">
        <v>27</v>
      </c>
      <c r="F92" t="s">
        <v>10</v>
      </c>
      <c r="G92" t="s">
        <v>33</v>
      </c>
      <c r="H92" t="s">
        <v>130</v>
      </c>
      <c r="I92">
        <v>15</v>
      </c>
      <c r="J92">
        <v>2</v>
      </c>
      <c r="K92" t="s">
        <v>30</v>
      </c>
      <c r="L92">
        <v>2162</v>
      </c>
    </row>
    <row r="93" spans="1:12" x14ac:dyDescent="0.25">
      <c r="A93" s="2">
        <v>46061</v>
      </c>
      <c r="B93" s="2">
        <v>46054</v>
      </c>
      <c r="C93" t="s">
        <v>6</v>
      </c>
      <c r="D93" t="s">
        <v>31</v>
      </c>
      <c r="E93" t="s">
        <v>36</v>
      </c>
      <c r="F93" t="s">
        <v>11</v>
      </c>
      <c r="G93" t="s">
        <v>33</v>
      </c>
      <c r="H93" t="s">
        <v>131</v>
      </c>
      <c r="I93">
        <v>5</v>
      </c>
      <c r="J93">
        <v>1</v>
      </c>
      <c r="K93" t="s">
        <v>30</v>
      </c>
      <c r="L93">
        <v>3673</v>
      </c>
    </row>
    <row r="94" spans="1:12" x14ac:dyDescent="0.25">
      <c r="A94" s="2">
        <v>46074</v>
      </c>
      <c r="B94" s="2">
        <v>46054</v>
      </c>
      <c r="C94" t="s">
        <v>6</v>
      </c>
      <c r="D94" t="s">
        <v>31</v>
      </c>
      <c r="E94" t="s">
        <v>36</v>
      </c>
      <c r="F94" t="s">
        <v>12</v>
      </c>
      <c r="G94" t="s">
        <v>28</v>
      </c>
      <c r="H94" t="s">
        <v>132</v>
      </c>
      <c r="I94">
        <v>11</v>
      </c>
      <c r="J94">
        <v>3</v>
      </c>
      <c r="K94" t="s">
        <v>30</v>
      </c>
      <c r="L94">
        <v>4281</v>
      </c>
    </row>
    <row r="95" spans="1:12" x14ac:dyDescent="0.25">
      <c r="A95" s="2">
        <v>46059</v>
      </c>
      <c r="B95" s="2">
        <v>46054</v>
      </c>
      <c r="C95" t="s">
        <v>2</v>
      </c>
      <c r="D95" t="s">
        <v>59</v>
      </c>
      <c r="E95" t="s">
        <v>27</v>
      </c>
      <c r="F95" t="s">
        <v>10</v>
      </c>
      <c r="G95" t="s">
        <v>41</v>
      </c>
      <c r="H95" t="s">
        <v>133</v>
      </c>
      <c r="I95">
        <v>8</v>
      </c>
      <c r="J95">
        <v>0</v>
      </c>
      <c r="K95" t="s">
        <v>30</v>
      </c>
      <c r="L95">
        <v>0</v>
      </c>
    </row>
    <row r="96" spans="1:12" x14ac:dyDescent="0.25">
      <c r="A96" s="2">
        <v>46071</v>
      </c>
      <c r="B96" s="2">
        <v>46054</v>
      </c>
      <c r="C96" t="s">
        <v>6</v>
      </c>
      <c r="D96" t="s">
        <v>45</v>
      </c>
      <c r="E96" t="s">
        <v>36</v>
      </c>
      <c r="F96" t="s">
        <v>11</v>
      </c>
      <c r="G96" t="s">
        <v>28</v>
      </c>
      <c r="H96" t="s">
        <v>134</v>
      </c>
      <c r="I96">
        <v>6</v>
      </c>
      <c r="J96">
        <v>0</v>
      </c>
      <c r="K96" t="s">
        <v>30</v>
      </c>
      <c r="L96">
        <v>0</v>
      </c>
    </row>
    <row r="97" spans="1:12" x14ac:dyDescent="0.25">
      <c r="A97" s="2">
        <v>46056</v>
      </c>
      <c r="B97" s="2">
        <v>46054</v>
      </c>
      <c r="C97" t="s">
        <v>2</v>
      </c>
      <c r="D97" t="s">
        <v>31</v>
      </c>
      <c r="E97" t="s">
        <v>36</v>
      </c>
      <c r="F97" t="s">
        <v>11</v>
      </c>
      <c r="G97" t="s">
        <v>28</v>
      </c>
      <c r="H97" t="s">
        <v>135</v>
      </c>
      <c r="I97">
        <v>19</v>
      </c>
      <c r="J97">
        <v>1</v>
      </c>
      <c r="K97" t="s">
        <v>30</v>
      </c>
      <c r="L97">
        <v>2943</v>
      </c>
    </row>
    <row r="98" spans="1:12" x14ac:dyDescent="0.25">
      <c r="A98" s="2">
        <v>46066</v>
      </c>
      <c r="B98" s="2">
        <v>46054</v>
      </c>
      <c r="C98" t="s">
        <v>6</v>
      </c>
      <c r="D98" t="s">
        <v>26</v>
      </c>
      <c r="E98" t="s">
        <v>36</v>
      </c>
      <c r="F98" t="s">
        <v>11</v>
      </c>
      <c r="G98" t="s">
        <v>28</v>
      </c>
      <c r="H98" t="s">
        <v>136</v>
      </c>
      <c r="I98">
        <v>15</v>
      </c>
      <c r="J98">
        <v>5</v>
      </c>
      <c r="K98" t="s">
        <v>30</v>
      </c>
      <c r="L98">
        <v>13126</v>
      </c>
    </row>
    <row r="99" spans="1:12" x14ac:dyDescent="0.25">
      <c r="A99" s="2">
        <v>46079</v>
      </c>
      <c r="B99" s="2">
        <v>46054</v>
      </c>
      <c r="C99" t="s">
        <v>2</v>
      </c>
      <c r="D99" t="s">
        <v>45</v>
      </c>
      <c r="E99" t="s">
        <v>36</v>
      </c>
      <c r="F99" t="s">
        <v>12</v>
      </c>
      <c r="G99" t="s">
        <v>28</v>
      </c>
      <c r="H99" t="s">
        <v>137</v>
      </c>
      <c r="I99">
        <v>3</v>
      </c>
      <c r="J99">
        <v>0</v>
      </c>
      <c r="K99" t="s">
        <v>30</v>
      </c>
      <c r="L99">
        <v>0</v>
      </c>
    </row>
    <row r="100" spans="1:12" x14ac:dyDescent="0.25">
      <c r="A100" s="2">
        <v>46060</v>
      </c>
      <c r="B100" s="2">
        <v>46054</v>
      </c>
      <c r="C100" t="s">
        <v>2</v>
      </c>
      <c r="D100" t="s">
        <v>26</v>
      </c>
      <c r="E100" t="s">
        <v>27</v>
      </c>
      <c r="F100" t="s">
        <v>11</v>
      </c>
      <c r="G100" t="s">
        <v>41</v>
      </c>
      <c r="H100" t="s">
        <v>138</v>
      </c>
      <c r="I100">
        <v>8</v>
      </c>
      <c r="J100">
        <v>1</v>
      </c>
      <c r="K100" t="s">
        <v>30</v>
      </c>
      <c r="L100">
        <v>1965</v>
      </c>
    </row>
    <row r="101" spans="1:12" x14ac:dyDescent="0.25">
      <c r="A101" s="2">
        <v>46076</v>
      </c>
      <c r="B101" s="2">
        <v>46054</v>
      </c>
      <c r="C101" t="s">
        <v>2</v>
      </c>
      <c r="D101" t="s">
        <v>31</v>
      </c>
      <c r="E101" t="s">
        <v>27</v>
      </c>
      <c r="F101" t="s">
        <v>12</v>
      </c>
      <c r="G101" t="s">
        <v>28</v>
      </c>
      <c r="H101" t="s">
        <v>139</v>
      </c>
      <c r="I101">
        <v>6</v>
      </c>
      <c r="J101">
        <v>2</v>
      </c>
      <c r="K101" t="s">
        <v>30</v>
      </c>
      <c r="L101">
        <v>6068</v>
      </c>
    </row>
    <row r="102" spans="1:12" x14ac:dyDescent="0.25">
      <c r="A102" s="2">
        <v>46063</v>
      </c>
      <c r="B102" s="2">
        <v>46054</v>
      </c>
      <c r="C102" t="s">
        <v>2</v>
      </c>
      <c r="D102" t="s">
        <v>35</v>
      </c>
      <c r="E102" t="s">
        <v>32</v>
      </c>
      <c r="F102" t="s">
        <v>11</v>
      </c>
      <c r="G102" t="s">
        <v>33</v>
      </c>
      <c r="H102" t="s">
        <v>140</v>
      </c>
      <c r="I102">
        <v>7</v>
      </c>
      <c r="J102">
        <v>1</v>
      </c>
      <c r="K102" t="s">
        <v>30</v>
      </c>
      <c r="L102">
        <v>2750</v>
      </c>
    </row>
    <row r="103" spans="1:12" x14ac:dyDescent="0.25">
      <c r="A103" s="2">
        <v>46072</v>
      </c>
      <c r="B103" s="2">
        <v>46054</v>
      </c>
      <c r="C103" t="s">
        <v>2</v>
      </c>
      <c r="D103" t="s">
        <v>38</v>
      </c>
      <c r="E103" t="s">
        <v>36</v>
      </c>
      <c r="F103" t="s">
        <v>12</v>
      </c>
      <c r="G103" t="s">
        <v>33</v>
      </c>
      <c r="H103" t="s">
        <v>141</v>
      </c>
      <c r="I103">
        <v>20</v>
      </c>
      <c r="J103">
        <v>5</v>
      </c>
      <c r="K103" t="s">
        <v>30</v>
      </c>
      <c r="L103">
        <v>11576</v>
      </c>
    </row>
    <row r="104" spans="1:12" x14ac:dyDescent="0.25">
      <c r="A104" s="2">
        <v>46068</v>
      </c>
      <c r="B104" s="2">
        <v>46054</v>
      </c>
      <c r="C104" t="s">
        <v>2</v>
      </c>
      <c r="D104" t="s">
        <v>26</v>
      </c>
      <c r="E104" t="s">
        <v>36</v>
      </c>
      <c r="F104" t="s">
        <v>12</v>
      </c>
      <c r="G104" t="s">
        <v>33</v>
      </c>
      <c r="H104" t="s">
        <v>142</v>
      </c>
      <c r="I104">
        <v>10</v>
      </c>
      <c r="J104">
        <v>2</v>
      </c>
      <c r="K104" t="s">
        <v>30</v>
      </c>
      <c r="L104">
        <v>1978</v>
      </c>
    </row>
    <row r="105" spans="1:12" x14ac:dyDescent="0.25">
      <c r="A105" s="2">
        <v>46072</v>
      </c>
      <c r="B105" s="2">
        <v>46054</v>
      </c>
      <c r="C105" t="s">
        <v>2</v>
      </c>
      <c r="D105" t="s">
        <v>45</v>
      </c>
      <c r="E105" t="s">
        <v>32</v>
      </c>
      <c r="F105" t="s">
        <v>12</v>
      </c>
      <c r="G105" t="s">
        <v>28</v>
      </c>
      <c r="H105" t="s">
        <v>143</v>
      </c>
      <c r="I105">
        <v>11</v>
      </c>
      <c r="J105">
        <v>1</v>
      </c>
      <c r="K105" t="s">
        <v>30</v>
      </c>
      <c r="L105">
        <v>2475</v>
      </c>
    </row>
    <row r="106" spans="1:12" x14ac:dyDescent="0.25">
      <c r="A106" s="2">
        <v>46076</v>
      </c>
      <c r="B106" s="2">
        <v>46054</v>
      </c>
      <c r="C106" t="s">
        <v>2</v>
      </c>
      <c r="D106" t="s">
        <v>35</v>
      </c>
      <c r="E106" t="s">
        <v>32</v>
      </c>
      <c r="F106" t="s">
        <v>10</v>
      </c>
      <c r="G106" t="s">
        <v>28</v>
      </c>
      <c r="H106" t="s">
        <v>144</v>
      </c>
      <c r="I106">
        <v>21</v>
      </c>
      <c r="J106">
        <v>7</v>
      </c>
      <c r="K106" t="s">
        <v>30</v>
      </c>
      <c r="L106">
        <v>25138</v>
      </c>
    </row>
    <row r="107" spans="1:12" x14ac:dyDescent="0.25">
      <c r="A107" s="2">
        <v>46065</v>
      </c>
      <c r="B107" s="2">
        <v>46054</v>
      </c>
      <c r="C107" t="s">
        <v>6</v>
      </c>
      <c r="D107" t="s">
        <v>59</v>
      </c>
      <c r="E107" t="s">
        <v>32</v>
      </c>
      <c r="F107" t="s">
        <v>11</v>
      </c>
      <c r="G107" t="s">
        <v>33</v>
      </c>
      <c r="H107" t="s">
        <v>145</v>
      </c>
      <c r="I107">
        <v>14</v>
      </c>
      <c r="J107">
        <v>0</v>
      </c>
      <c r="K107" t="s">
        <v>30</v>
      </c>
      <c r="L107">
        <v>0</v>
      </c>
    </row>
    <row r="108" spans="1:12" x14ac:dyDescent="0.25">
      <c r="A108" s="2">
        <v>46078</v>
      </c>
      <c r="B108" s="2">
        <v>46054</v>
      </c>
      <c r="C108" t="s">
        <v>2</v>
      </c>
      <c r="D108" t="s">
        <v>35</v>
      </c>
      <c r="E108" t="s">
        <v>36</v>
      </c>
      <c r="F108" t="s">
        <v>10</v>
      </c>
      <c r="G108" t="s">
        <v>28</v>
      </c>
      <c r="H108" t="s">
        <v>146</v>
      </c>
      <c r="I108">
        <v>14</v>
      </c>
      <c r="J108">
        <v>2</v>
      </c>
      <c r="K108" t="s">
        <v>30</v>
      </c>
      <c r="L108">
        <v>5290</v>
      </c>
    </row>
    <row r="109" spans="1:12" x14ac:dyDescent="0.25">
      <c r="A109" s="2">
        <v>46057</v>
      </c>
      <c r="B109" s="2">
        <v>46054</v>
      </c>
      <c r="C109" t="s">
        <v>5</v>
      </c>
      <c r="D109" t="s">
        <v>59</v>
      </c>
      <c r="E109" t="s">
        <v>32</v>
      </c>
      <c r="F109" t="s">
        <v>10</v>
      </c>
      <c r="G109" t="s">
        <v>41</v>
      </c>
      <c r="H109" t="s">
        <v>147</v>
      </c>
      <c r="I109">
        <v>19</v>
      </c>
      <c r="J109">
        <v>3</v>
      </c>
      <c r="K109" t="s">
        <v>30</v>
      </c>
      <c r="L109">
        <v>4663</v>
      </c>
    </row>
    <row r="110" spans="1:12" x14ac:dyDescent="0.25">
      <c r="A110" s="2">
        <v>46056</v>
      </c>
      <c r="B110" s="2">
        <v>46054</v>
      </c>
      <c r="C110" t="s">
        <v>2</v>
      </c>
      <c r="D110" t="s">
        <v>31</v>
      </c>
      <c r="E110" t="s">
        <v>32</v>
      </c>
      <c r="F110" t="s">
        <v>10</v>
      </c>
      <c r="G110" t="s">
        <v>33</v>
      </c>
      <c r="H110" t="s">
        <v>148</v>
      </c>
      <c r="I110">
        <v>3</v>
      </c>
      <c r="J110">
        <v>0</v>
      </c>
      <c r="K110" t="s">
        <v>30</v>
      </c>
      <c r="L110">
        <v>0</v>
      </c>
    </row>
    <row r="111" spans="1:12" x14ac:dyDescent="0.25">
      <c r="A111" s="2">
        <v>46077</v>
      </c>
      <c r="B111" s="2">
        <v>46054</v>
      </c>
      <c r="C111" t="s">
        <v>6</v>
      </c>
      <c r="D111" t="s">
        <v>31</v>
      </c>
      <c r="E111" t="s">
        <v>36</v>
      </c>
      <c r="F111" t="s">
        <v>11</v>
      </c>
      <c r="G111" t="s">
        <v>41</v>
      </c>
      <c r="H111" t="s">
        <v>149</v>
      </c>
      <c r="I111">
        <v>7</v>
      </c>
      <c r="J111">
        <v>2</v>
      </c>
      <c r="K111" t="s">
        <v>30</v>
      </c>
      <c r="L111">
        <v>6461</v>
      </c>
    </row>
    <row r="112" spans="1:12" x14ac:dyDescent="0.25">
      <c r="A112" s="2">
        <v>46067</v>
      </c>
      <c r="B112" s="2">
        <v>46054</v>
      </c>
      <c r="C112" t="s">
        <v>5</v>
      </c>
      <c r="D112" t="s">
        <v>35</v>
      </c>
      <c r="E112" t="s">
        <v>27</v>
      </c>
      <c r="F112" t="s">
        <v>10</v>
      </c>
      <c r="G112" t="s">
        <v>28</v>
      </c>
      <c r="H112" t="s">
        <v>150</v>
      </c>
      <c r="I112">
        <v>18</v>
      </c>
      <c r="J112">
        <v>0</v>
      </c>
      <c r="K112" t="s">
        <v>30</v>
      </c>
      <c r="L112">
        <v>0</v>
      </c>
    </row>
    <row r="113" spans="1:12" x14ac:dyDescent="0.25">
      <c r="A113" s="2">
        <v>46056</v>
      </c>
      <c r="B113" s="2">
        <v>46054</v>
      </c>
      <c r="C113" t="s">
        <v>6</v>
      </c>
      <c r="D113" t="s">
        <v>59</v>
      </c>
      <c r="E113" t="s">
        <v>32</v>
      </c>
      <c r="F113" t="s">
        <v>11</v>
      </c>
      <c r="G113" t="s">
        <v>28</v>
      </c>
      <c r="H113" t="s">
        <v>151</v>
      </c>
      <c r="I113">
        <v>10</v>
      </c>
      <c r="J113">
        <v>1</v>
      </c>
      <c r="K113" t="s">
        <v>30</v>
      </c>
      <c r="L113">
        <v>3245</v>
      </c>
    </row>
    <row r="114" spans="1:12" x14ac:dyDescent="0.25">
      <c r="A114" s="2">
        <v>46074</v>
      </c>
      <c r="B114" s="2">
        <v>46054</v>
      </c>
      <c r="C114" t="s">
        <v>6</v>
      </c>
      <c r="D114" t="s">
        <v>59</v>
      </c>
      <c r="E114" t="s">
        <v>32</v>
      </c>
      <c r="F114" t="s">
        <v>11</v>
      </c>
      <c r="G114" t="s">
        <v>33</v>
      </c>
      <c r="H114" t="s">
        <v>152</v>
      </c>
      <c r="I114">
        <v>18</v>
      </c>
      <c r="J114">
        <v>4</v>
      </c>
      <c r="K114" t="s">
        <v>30</v>
      </c>
      <c r="L114">
        <v>14553</v>
      </c>
    </row>
    <row r="115" spans="1:12" x14ac:dyDescent="0.25">
      <c r="A115" s="2">
        <v>46068</v>
      </c>
      <c r="B115" s="2">
        <v>46054</v>
      </c>
      <c r="C115" t="s">
        <v>2</v>
      </c>
      <c r="D115" t="s">
        <v>59</v>
      </c>
      <c r="E115" t="s">
        <v>27</v>
      </c>
      <c r="F115" t="s">
        <v>10</v>
      </c>
      <c r="G115" t="s">
        <v>33</v>
      </c>
      <c r="H115" t="s">
        <v>153</v>
      </c>
      <c r="I115">
        <v>10</v>
      </c>
      <c r="J115">
        <v>2</v>
      </c>
      <c r="K115" t="s">
        <v>30</v>
      </c>
      <c r="L115">
        <v>5268</v>
      </c>
    </row>
    <row r="116" spans="1:12" x14ac:dyDescent="0.25">
      <c r="A116" s="2">
        <v>46068</v>
      </c>
      <c r="B116" s="2">
        <v>46054</v>
      </c>
      <c r="C116" t="s">
        <v>2</v>
      </c>
      <c r="D116" t="s">
        <v>31</v>
      </c>
      <c r="E116" t="s">
        <v>32</v>
      </c>
      <c r="F116" t="s">
        <v>10</v>
      </c>
      <c r="G116" t="s">
        <v>41</v>
      </c>
      <c r="H116" t="s">
        <v>154</v>
      </c>
      <c r="I116">
        <v>4</v>
      </c>
      <c r="J116">
        <v>1</v>
      </c>
      <c r="K116" t="s">
        <v>30</v>
      </c>
      <c r="L116">
        <v>2399</v>
      </c>
    </row>
    <row r="117" spans="1:12" x14ac:dyDescent="0.25">
      <c r="A117" s="2">
        <v>46064</v>
      </c>
      <c r="B117" s="2">
        <v>46054</v>
      </c>
      <c r="C117" t="s">
        <v>5</v>
      </c>
      <c r="D117" t="s">
        <v>35</v>
      </c>
      <c r="E117" t="s">
        <v>36</v>
      </c>
      <c r="F117" t="s">
        <v>11</v>
      </c>
      <c r="G117" t="s">
        <v>28</v>
      </c>
      <c r="H117" t="s">
        <v>155</v>
      </c>
      <c r="I117">
        <v>10</v>
      </c>
      <c r="J117">
        <v>2</v>
      </c>
      <c r="K117" t="s">
        <v>30</v>
      </c>
      <c r="L117">
        <v>5712</v>
      </c>
    </row>
    <row r="118" spans="1:12" x14ac:dyDescent="0.25">
      <c r="A118" s="2">
        <v>46069</v>
      </c>
      <c r="B118" s="2">
        <v>46054</v>
      </c>
      <c r="C118" t="s">
        <v>5</v>
      </c>
      <c r="D118" t="s">
        <v>59</v>
      </c>
      <c r="E118" t="s">
        <v>32</v>
      </c>
      <c r="F118" t="s">
        <v>10</v>
      </c>
      <c r="G118" t="s">
        <v>28</v>
      </c>
      <c r="H118" t="s">
        <v>156</v>
      </c>
      <c r="I118">
        <v>3</v>
      </c>
      <c r="J118">
        <v>1</v>
      </c>
      <c r="K118" t="s">
        <v>30</v>
      </c>
      <c r="L118">
        <v>3107</v>
      </c>
    </row>
    <row r="119" spans="1:12" x14ac:dyDescent="0.25">
      <c r="A119" s="2">
        <v>46074</v>
      </c>
      <c r="B119" s="2">
        <v>46054</v>
      </c>
      <c r="C119" t="s">
        <v>6</v>
      </c>
      <c r="D119" t="s">
        <v>35</v>
      </c>
      <c r="E119" t="s">
        <v>32</v>
      </c>
      <c r="F119" t="s">
        <v>10</v>
      </c>
      <c r="G119" t="s">
        <v>41</v>
      </c>
      <c r="H119" t="s">
        <v>157</v>
      </c>
      <c r="I119">
        <v>21</v>
      </c>
      <c r="J119">
        <v>0</v>
      </c>
      <c r="K119" t="s">
        <v>30</v>
      </c>
      <c r="L119">
        <v>0</v>
      </c>
    </row>
    <row r="120" spans="1:12" x14ac:dyDescent="0.25">
      <c r="A120" s="2">
        <v>46057</v>
      </c>
      <c r="B120" s="2">
        <v>46054</v>
      </c>
      <c r="C120" t="s">
        <v>5</v>
      </c>
      <c r="D120" t="s">
        <v>59</v>
      </c>
      <c r="E120" t="s">
        <v>27</v>
      </c>
      <c r="F120" t="s">
        <v>11</v>
      </c>
      <c r="G120" t="s">
        <v>33</v>
      </c>
      <c r="H120" t="s">
        <v>158</v>
      </c>
      <c r="I120">
        <v>19</v>
      </c>
      <c r="J120">
        <v>5</v>
      </c>
      <c r="K120" t="s">
        <v>30</v>
      </c>
      <c r="L120">
        <v>4694</v>
      </c>
    </row>
    <row r="121" spans="1:12" x14ac:dyDescent="0.25">
      <c r="A121" s="2">
        <v>46072</v>
      </c>
      <c r="B121" s="2">
        <v>46054</v>
      </c>
      <c r="C121" t="s">
        <v>2</v>
      </c>
      <c r="D121" t="s">
        <v>35</v>
      </c>
      <c r="E121" t="s">
        <v>27</v>
      </c>
      <c r="F121" t="s">
        <v>10</v>
      </c>
      <c r="G121" t="s">
        <v>28</v>
      </c>
      <c r="H121" t="s">
        <v>159</v>
      </c>
      <c r="I121">
        <v>5</v>
      </c>
      <c r="J121">
        <v>0</v>
      </c>
      <c r="K121" t="s">
        <v>30</v>
      </c>
      <c r="L121">
        <v>0</v>
      </c>
    </row>
    <row r="122" spans="1:12" x14ac:dyDescent="0.25">
      <c r="A122" s="2">
        <v>46056</v>
      </c>
      <c r="B122" s="2">
        <v>46054</v>
      </c>
      <c r="C122" t="s">
        <v>2</v>
      </c>
      <c r="D122" t="s">
        <v>35</v>
      </c>
      <c r="E122" t="s">
        <v>32</v>
      </c>
      <c r="F122" t="s">
        <v>10</v>
      </c>
      <c r="G122" t="s">
        <v>41</v>
      </c>
      <c r="H122" t="s">
        <v>160</v>
      </c>
      <c r="I122">
        <v>20</v>
      </c>
      <c r="J122">
        <v>3</v>
      </c>
      <c r="K122" t="s">
        <v>30</v>
      </c>
      <c r="L122">
        <v>3244</v>
      </c>
    </row>
    <row r="123" spans="1:12" x14ac:dyDescent="0.25">
      <c r="A123" s="2">
        <v>46078</v>
      </c>
      <c r="B123" s="2">
        <v>46054</v>
      </c>
      <c r="C123" t="s">
        <v>2</v>
      </c>
      <c r="D123" t="s">
        <v>31</v>
      </c>
      <c r="E123" t="s">
        <v>32</v>
      </c>
      <c r="F123" t="s">
        <v>12</v>
      </c>
      <c r="G123" t="s">
        <v>33</v>
      </c>
      <c r="H123" t="s">
        <v>161</v>
      </c>
      <c r="I123">
        <v>16</v>
      </c>
      <c r="J123">
        <v>3</v>
      </c>
      <c r="K123" t="s">
        <v>30</v>
      </c>
      <c r="L123">
        <v>11300</v>
      </c>
    </row>
    <row r="124" spans="1:12" x14ac:dyDescent="0.25">
      <c r="A124" s="2">
        <v>46075</v>
      </c>
      <c r="B124" s="2">
        <v>46054</v>
      </c>
      <c r="C124" t="s">
        <v>5</v>
      </c>
      <c r="D124" t="s">
        <v>35</v>
      </c>
      <c r="E124" t="s">
        <v>36</v>
      </c>
      <c r="F124" t="s">
        <v>11</v>
      </c>
      <c r="G124" t="s">
        <v>33</v>
      </c>
      <c r="H124" t="s">
        <v>162</v>
      </c>
      <c r="I124">
        <v>13</v>
      </c>
      <c r="J124">
        <v>4</v>
      </c>
      <c r="K124" t="s">
        <v>30</v>
      </c>
      <c r="L124">
        <v>4295</v>
      </c>
    </row>
    <row r="125" spans="1:12" x14ac:dyDescent="0.25">
      <c r="A125" s="2">
        <v>46073</v>
      </c>
      <c r="B125" s="2">
        <v>46054</v>
      </c>
      <c r="C125" t="s">
        <v>6</v>
      </c>
      <c r="D125" t="s">
        <v>45</v>
      </c>
      <c r="E125" t="s">
        <v>36</v>
      </c>
      <c r="F125" t="s">
        <v>12</v>
      </c>
      <c r="G125" t="s">
        <v>28</v>
      </c>
      <c r="H125" t="s">
        <v>163</v>
      </c>
      <c r="I125">
        <v>3</v>
      </c>
      <c r="J125">
        <v>1</v>
      </c>
      <c r="K125" t="s">
        <v>30</v>
      </c>
      <c r="L125">
        <v>3194</v>
      </c>
    </row>
    <row r="126" spans="1:12" x14ac:dyDescent="0.25">
      <c r="A126" s="2">
        <v>46061</v>
      </c>
      <c r="B126" s="2">
        <v>46054</v>
      </c>
      <c r="C126" t="s">
        <v>2</v>
      </c>
      <c r="D126" t="s">
        <v>31</v>
      </c>
      <c r="E126" t="s">
        <v>32</v>
      </c>
      <c r="F126" t="s">
        <v>12</v>
      </c>
      <c r="G126" t="s">
        <v>41</v>
      </c>
      <c r="H126" t="s">
        <v>164</v>
      </c>
      <c r="I126">
        <v>22</v>
      </c>
      <c r="J126">
        <v>1</v>
      </c>
      <c r="K126" t="s">
        <v>30</v>
      </c>
      <c r="L126">
        <v>1517</v>
      </c>
    </row>
    <row r="127" spans="1:12" x14ac:dyDescent="0.25">
      <c r="A127" s="2">
        <v>46067</v>
      </c>
      <c r="B127" s="2">
        <v>46054</v>
      </c>
      <c r="C127" t="s">
        <v>5</v>
      </c>
      <c r="D127" t="s">
        <v>35</v>
      </c>
      <c r="E127" t="s">
        <v>32</v>
      </c>
      <c r="F127" t="s">
        <v>11</v>
      </c>
      <c r="G127" t="s">
        <v>41</v>
      </c>
      <c r="H127" t="s">
        <v>165</v>
      </c>
      <c r="I127">
        <v>3</v>
      </c>
      <c r="J127">
        <v>1</v>
      </c>
      <c r="K127" t="s">
        <v>30</v>
      </c>
      <c r="L127">
        <v>1043</v>
      </c>
    </row>
    <row r="128" spans="1:12" x14ac:dyDescent="0.25">
      <c r="A128" s="2">
        <v>46054</v>
      </c>
      <c r="B128" s="2">
        <v>46054</v>
      </c>
      <c r="C128" t="s">
        <v>5</v>
      </c>
      <c r="D128" t="s">
        <v>26</v>
      </c>
      <c r="E128" t="s">
        <v>36</v>
      </c>
      <c r="F128" t="s">
        <v>10</v>
      </c>
      <c r="G128" t="s">
        <v>33</v>
      </c>
      <c r="H128" t="s">
        <v>166</v>
      </c>
      <c r="I128">
        <v>22</v>
      </c>
      <c r="J128">
        <v>6</v>
      </c>
      <c r="K128" t="s">
        <v>30</v>
      </c>
      <c r="L128">
        <v>21756</v>
      </c>
    </row>
    <row r="129" spans="1:12" x14ac:dyDescent="0.25">
      <c r="A129" s="2">
        <v>46065</v>
      </c>
      <c r="B129" s="2">
        <v>46054</v>
      </c>
      <c r="C129" t="s">
        <v>5</v>
      </c>
      <c r="D129" t="s">
        <v>31</v>
      </c>
      <c r="E129" t="s">
        <v>27</v>
      </c>
      <c r="F129" t="s">
        <v>12</v>
      </c>
      <c r="G129" t="s">
        <v>33</v>
      </c>
      <c r="H129" t="s">
        <v>167</v>
      </c>
      <c r="I129">
        <v>12</v>
      </c>
      <c r="J129">
        <v>3</v>
      </c>
      <c r="K129" t="s">
        <v>30</v>
      </c>
      <c r="L129">
        <v>6138</v>
      </c>
    </row>
    <row r="130" spans="1:12" x14ac:dyDescent="0.25">
      <c r="A130" s="2">
        <v>46057</v>
      </c>
      <c r="B130" s="2">
        <v>46054</v>
      </c>
      <c r="C130" t="s">
        <v>5</v>
      </c>
      <c r="D130" t="s">
        <v>35</v>
      </c>
      <c r="E130" t="s">
        <v>36</v>
      </c>
      <c r="F130" t="s">
        <v>12</v>
      </c>
      <c r="G130" t="s">
        <v>33</v>
      </c>
      <c r="H130" t="s">
        <v>168</v>
      </c>
      <c r="I130">
        <v>5</v>
      </c>
      <c r="J130">
        <v>1</v>
      </c>
      <c r="K130" t="s">
        <v>30</v>
      </c>
      <c r="L130">
        <v>1425</v>
      </c>
    </row>
    <row r="131" spans="1:12" x14ac:dyDescent="0.25">
      <c r="A131" s="2">
        <v>46081</v>
      </c>
      <c r="B131" s="2">
        <v>46054</v>
      </c>
      <c r="C131" t="s">
        <v>6</v>
      </c>
      <c r="D131" t="s">
        <v>35</v>
      </c>
      <c r="E131" t="s">
        <v>32</v>
      </c>
      <c r="F131" t="s">
        <v>10</v>
      </c>
      <c r="G131" t="s">
        <v>41</v>
      </c>
      <c r="H131" t="s">
        <v>169</v>
      </c>
      <c r="I131">
        <v>10</v>
      </c>
      <c r="J131">
        <v>3</v>
      </c>
      <c r="K131" t="s">
        <v>30</v>
      </c>
      <c r="L131">
        <v>4797</v>
      </c>
    </row>
    <row r="132" spans="1:12" x14ac:dyDescent="0.25">
      <c r="A132" s="2">
        <v>46076</v>
      </c>
      <c r="B132" s="2">
        <v>46054</v>
      </c>
      <c r="C132" t="s">
        <v>5</v>
      </c>
      <c r="D132" t="s">
        <v>45</v>
      </c>
      <c r="E132" t="s">
        <v>36</v>
      </c>
      <c r="F132" t="s">
        <v>10</v>
      </c>
      <c r="G132" t="s">
        <v>33</v>
      </c>
      <c r="H132" t="s">
        <v>170</v>
      </c>
      <c r="I132">
        <v>13</v>
      </c>
      <c r="J132">
        <v>1</v>
      </c>
      <c r="K132" t="s">
        <v>30</v>
      </c>
      <c r="L132">
        <v>1355</v>
      </c>
    </row>
    <row r="133" spans="1:12" x14ac:dyDescent="0.25">
      <c r="A133" s="2">
        <v>46057</v>
      </c>
      <c r="B133" s="2">
        <v>46054</v>
      </c>
      <c r="C133" t="s">
        <v>2</v>
      </c>
      <c r="D133" t="s">
        <v>31</v>
      </c>
      <c r="E133" t="s">
        <v>36</v>
      </c>
      <c r="F133" t="s">
        <v>10</v>
      </c>
      <c r="G133" t="s">
        <v>28</v>
      </c>
      <c r="H133" t="s">
        <v>171</v>
      </c>
      <c r="I133">
        <v>16</v>
      </c>
      <c r="J133">
        <v>2</v>
      </c>
      <c r="K133" t="s">
        <v>30</v>
      </c>
      <c r="L133">
        <v>6213</v>
      </c>
    </row>
    <row r="134" spans="1:12" x14ac:dyDescent="0.25">
      <c r="A134" s="2">
        <v>46056</v>
      </c>
      <c r="B134" s="2">
        <v>46054</v>
      </c>
      <c r="C134" t="s">
        <v>6</v>
      </c>
      <c r="D134" t="s">
        <v>26</v>
      </c>
      <c r="E134" t="s">
        <v>32</v>
      </c>
      <c r="F134" t="s">
        <v>11</v>
      </c>
      <c r="G134" t="s">
        <v>33</v>
      </c>
      <c r="H134" t="s">
        <v>172</v>
      </c>
      <c r="I134">
        <v>6</v>
      </c>
      <c r="J134">
        <v>1</v>
      </c>
      <c r="K134" t="s">
        <v>30</v>
      </c>
      <c r="L134">
        <v>3165</v>
      </c>
    </row>
    <row r="135" spans="1:12" x14ac:dyDescent="0.25">
      <c r="A135" s="2">
        <v>46066</v>
      </c>
      <c r="B135" s="2">
        <v>46054</v>
      </c>
      <c r="C135" t="s">
        <v>2</v>
      </c>
      <c r="D135" t="s">
        <v>45</v>
      </c>
      <c r="E135" t="s">
        <v>36</v>
      </c>
      <c r="F135" t="s">
        <v>12</v>
      </c>
      <c r="G135" t="s">
        <v>33</v>
      </c>
      <c r="H135" t="s">
        <v>173</v>
      </c>
      <c r="I135">
        <v>17</v>
      </c>
      <c r="J135">
        <v>3</v>
      </c>
      <c r="K135" t="s">
        <v>30</v>
      </c>
      <c r="L135">
        <v>6901</v>
      </c>
    </row>
    <row r="136" spans="1:12" x14ac:dyDescent="0.25">
      <c r="A136" s="2">
        <v>46069</v>
      </c>
      <c r="B136" s="2">
        <v>46054</v>
      </c>
      <c r="C136" t="s">
        <v>2</v>
      </c>
      <c r="D136" t="s">
        <v>45</v>
      </c>
      <c r="E136" t="s">
        <v>36</v>
      </c>
      <c r="F136" t="s">
        <v>12</v>
      </c>
      <c r="G136" t="s">
        <v>33</v>
      </c>
      <c r="H136" t="s">
        <v>174</v>
      </c>
      <c r="I136">
        <v>16</v>
      </c>
      <c r="J136">
        <v>0</v>
      </c>
      <c r="K136" t="s">
        <v>30</v>
      </c>
      <c r="L136">
        <v>0</v>
      </c>
    </row>
    <row r="137" spans="1:12" x14ac:dyDescent="0.25">
      <c r="A137" s="2">
        <v>46055</v>
      </c>
      <c r="B137" s="2">
        <v>46054</v>
      </c>
      <c r="C137" t="s">
        <v>2</v>
      </c>
      <c r="D137" t="s">
        <v>35</v>
      </c>
      <c r="E137" t="s">
        <v>27</v>
      </c>
      <c r="F137" t="s">
        <v>11</v>
      </c>
      <c r="G137" t="s">
        <v>33</v>
      </c>
      <c r="H137" t="s">
        <v>175</v>
      </c>
      <c r="I137">
        <v>9</v>
      </c>
      <c r="J137">
        <v>1</v>
      </c>
      <c r="K137" t="s">
        <v>30</v>
      </c>
      <c r="L137">
        <v>2255</v>
      </c>
    </row>
    <row r="138" spans="1:12" x14ac:dyDescent="0.25">
      <c r="A138" s="2">
        <v>46058</v>
      </c>
      <c r="B138" s="2">
        <v>46054</v>
      </c>
      <c r="C138" t="s">
        <v>6</v>
      </c>
      <c r="D138" t="s">
        <v>35</v>
      </c>
      <c r="E138" t="s">
        <v>36</v>
      </c>
      <c r="F138" t="s">
        <v>12</v>
      </c>
      <c r="G138" t="s">
        <v>41</v>
      </c>
      <c r="H138" t="s">
        <v>176</v>
      </c>
      <c r="I138">
        <v>17</v>
      </c>
      <c r="J138">
        <v>5</v>
      </c>
      <c r="K138" t="s">
        <v>30</v>
      </c>
      <c r="L138">
        <v>18247</v>
      </c>
    </row>
    <row r="139" spans="1:12" x14ac:dyDescent="0.25">
      <c r="A139" s="2">
        <v>46073</v>
      </c>
      <c r="B139" s="2">
        <v>46054</v>
      </c>
      <c r="C139" t="s">
        <v>2</v>
      </c>
      <c r="D139" t="s">
        <v>31</v>
      </c>
      <c r="E139" t="s">
        <v>36</v>
      </c>
      <c r="F139" t="s">
        <v>12</v>
      </c>
      <c r="G139" t="s">
        <v>41</v>
      </c>
      <c r="H139" t="s">
        <v>177</v>
      </c>
      <c r="I139">
        <v>8</v>
      </c>
      <c r="J139">
        <v>1</v>
      </c>
      <c r="K139" t="s">
        <v>30</v>
      </c>
      <c r="L139">
        <v>1768</v>
      </c>
    </row>
    <row r="140" spans="1:12" x14ac:dyDescent="0.25">
      <c r="A140" s="2">
        <v>46057</v>
      </c>
      <c r="B140" s="2">
        <v>46054</v>
      </c>
      <c r="C140" t="s">
        <v>5</v>
      </c>
      <c r="D140" t="s">
        <v>35</v>
      </c>
      <c r="E140" t="s">
        <v>36</v>
      </c>
      <c r="F140" t="s">
        <v>10</v>
      </c>
      <c r="G140" t="s">
        <v>28</v>
      </c>
      <c r="H140" t="s">
        <v>178</v>
      </c>
      <c r="I140">
        <v>21</v>
      </c>
      <c r="J140">
        <v>7</v>
      </c>
      <c r="K140" t="s">
        <v>30</v>
      </c>
      <c r="L140">
        <v>12053</v>
      </c>
    </row>
    <row r="141" spans="1:12" x14ac:dyDescent="0.25">
      <c r="A141" s="2">
        <v>46058</v>
      </c>
      <c r="B141" s="2">
        <v>46054</v>
      </c>
      <c r="C141" t="s">
        <v>2</v>
      </c>
      <c r="D141" t="s">
        <v>59</v>
      </c>
      <c r="E141" t="s">
        <v>32</v>
      </c>
      <c r="F141" t="s">
        <v>11</v>
      </c>
      <c r="G141" t="s">
        <v>41</v>
      </c>
      <c r="H141" t="s">
        <v>179</v>
      </c>
      <c r="I141">
        <v>6</v>
      </c>
      <c r="J141">
        <v>1</v>
      </c>
      <c r="K141" t="s">
        <v>30</v>
      </c>
      <c r="L141">
        <v>2788</v>
      </c>
    </row>
    <row r="142" spans="1:12" x14ac:dyDescent="0.25">
      <c r="A142" s="2">
        <v>46059</v>
      </c>
      <c r="B142" s="2">
        <v>46054</v>
      </c>
      <c r="C142" t="s">
        <v>2</v>
      </c>
      <c r="D142" t="s">
        <v>31</v>
      </c>
      <c r="E142" t="s">
        <v>32</v>
      </c>
      <c r="F142" t="s">
        <v>10</v>
      </c>
      <c r="G142" t="s">
        <v>33</v>
      </c>
      <c r="H142" t="s">
        <v>180</v>
      </c>
      <c r="I142">
        <v>21</v>
      </c>
      <c r="J142">
        <v>1</v>
      </c>
      <c r="K142" t="s">
        <v>30</v>
      </c>
      <c r="L142">
        <v>1911</v>
      </c>
    </row>
    <row r="143" spans="1:12" x14ac:dyDescent="0.25">
      <c r="A143" s="2">
        <v>46070</v>
      </c>
      <c r="B143" s="2">
        <v>46054</v>
      </c>
      <c r="C143" t="s">
        <v>2</v>
      </c>
      <c r="D143" t="s">
        <v>26</v>
      </c>
      <c r="E143" t="s">
        <v>27</v>
      </c>
      <c r="F143" t="s">
        <v>12</v>
      </c>
      <c r="G143" t="s">
        <v>33</v>
      </c>
      <c r="H143" t="s">
        <v>181</v>
      </c>
      <c r="I143">
        <v>22</v>
      </c>
      <c r="J143">
        <v>4</v>
      </c>
      <c r="K143" t="s">
        <v>30</v>
      </c>
      <c r="L143">
        <v>12293</v>
      </c>
    </row>
    <row r="144" spans="1:12" x14ac:dyDescent="0.25">
      <c r="A144" s="2">
        <v>46077</v>
      </c>
      <c r="B144" s="2">
        <v>46054</v>
      </c>
      <c r="C144" t="s">
        <v>6</v>
      </c>
      <c r="D144" t="s">
        <v>45</v>
      </c>
      <c r="E144" t="s">
        <v>32</v>
      </c>
      <c r="F144" t="s">
        <v>11</v>
      </c>
      <c r="G144" t="s">
        <v>41</v>
      </c>
      <c r="H144" t="s">
        <v>182</v>
      </c>
      <c r="I144">
        <v>18</v>
      </c>
      <c r="J144">
        <v>1</v>
      </c>
      <c r="K144" t="s">
        <v>30</v>
      </c>
      <c r="L144">
        <v>1536</v>
      </c>
    </row>
    <row r="145" spans="1:12" x14ac:dyDescent="0.25">
      <c r="A145" s="2">
        <v>46061</v>
      </c>
      <c r="B145" s="2">
        <v>46054</v>
      </c>
      <c r="C145" t="s">
        <v>2</v>
      </c>
      <c r="D145" t="s">
        <v>59</v>
      </c>
      <c r="E145" t="s">
        <v>32</v>
      </c>
      <c r="F145" t="s">
        <v>10</v>
      </c>
      <c r="G145" t="s">
        <v>28</v>
      </c>
      <c r="H145" t="s">
        <v>183</v>
      </c>
      <c r="I145">
        <v>11</v>
      </c>
      <c r="J145">
        <v>1</v>
      </c>
      <c r="K145" t="s">
        <v>30</v>
      </c>
      <c r="L145">
        <v>1190</v>
      </c>
    </row>
    <row r="146" spans="1:12" x14ac:dyDescent="0.25">
      <c r="A146" s="2">
        <v>46081</v>
      </c>
      <c r="B146" s="2">
        <v>46054</v>
      </c>
      <c r="C146" t="s">
        <v>6</v>
      </c>
      <c r="D146" t="s">
        <v>31</v>
      </c>
      <c r="E146" t="s">
        <v>36</v>
      </c>
      <c r="F146" t="s">
        <v>12</v>
      </c>
      <c r="G146" t="s">
        <v>41</v>
      </c>
      <c r="H146" t="s">
        <v>184</v>
      </c>
      <c r="I146">
        <v>6</v>
      </c>
      <c r="J146">
        <v>2</v>
      </c>
      <c r="K146" t="s">
        <v>30</v>
      </c>
      <c r="L146">
        <v>4496</v>
      </c>
    </row>
    <row r="147" spans="1:12" x14ac:dyDescent="0.25">
      <c r="A147" s="2">
        <v>46058</v>
      </c>
      <c r="B147" s="2">
        <v>46054</v>
      </c>
      <c r="C147" t="s">
        <v>2</v>
      </c>
      <c r="D147" t="s">
        <v>31</v>
      </c>
      <c r="E147" t="s">
        <v>36</v>
      </c>
      <c r="F147" t="s">
        <v>10</v>
      </c>
      <c r="G147" t="s">
        <v>28</v>
      </c>
      <c r="H147" t="s">
        <v>185</v>
      </c>
      <c r="I147">
        <v>3</v>
      </c>
      <c r="J147">
        <v>1</v>
      </c>
      <c r="K147" t="s">
        <v>30</v>
      </c>
      <c r="L147">
        <v>1609</v>
      </c>
    </row>
    <row r="148" spans="1:12" x14ac:dyDescent="0.25">
      <c r="A148" s="2">
        <v>46056</v>
      </c>
      <c r="B148" s="2">
        <v>46054</v>
      </c>
      <c r="C148" t="s">
        <v>6</v>
      </c>
      <c r="D148" t="s">
        <v>35</v>
      </c>
      <c r="E148" t="s">
        <v>36</v>
      </c>
      <c r="F148" t="s">
        <v>11</v>
      </c>
      <c r="G148" t="s">
        <v>28</v>
      </c>
      <c r="H148" t="s">
        <v>186</v>
      </c>
      <c r="I148">
        <v>14</v>
      </c>
      <c r="J148">
        <v>2</v>
      </c>
      <c r="K148" t="s">
        <v>30</v>
      </c>
      <c r="L148">
        <v>3751</v>
      </c>
    </row>
    <row r="149" spans="1:12" x14ac:dyDescent="0.25">
      <c r="A149" s="2">
        <v>46069</v>
      </c>
      <c r="B149" s="2">
        <v>46054</v>
      </c>
      <c r="C149" t="s">
        <v>2</v>
      </c>
      <c r="D149" t="s">
        <v>45</v>
      </c>
      <c r="E149" t="s">
        <v>36</v>
      </c>
      <c r="F149" t="s">
        <v>11</v>
      </c>
      <c r="G149" t="s">
        <v>28</v>
      </c>
      <c r="H149" t="s">
        <v>187</v>
      </c>
      <c r="I149">
        <v>15</v>
      </c>
      <c r="J149">
        <v>1</v>
      </c>
      <c r="K149" t="s">
        <v>30</v>
      </c>
      <c r="L149">
        <v>2369</v>
      </c>
    </row>
    <row r="150" spans="1:12" x14ac:dyDescent="0.25">
      <c r="A150" s="2">
        <v>46080</v>
      </c>
      <c r="B150" s="2">
        <v>46054</v>
      </c>
      <c r="C150" t="s">
        <v>2</v>
      </c>
      <c r="D150" t="s">
        <v>31</v>
      </c>
      <c r="E150" t="s">
        <v>36</v>
      </c>
      <c r="F150" t="s">
        <v>10</v>
      </c>
      <c r="G150" t="s">
        <v>41</v>
      </c>
      <c r="H150" t="s">
        <v>188</v>
      </c>
      <c r="I150">
        <v>10</v>
      </c>
      <c r="J150">
        <v>0</v>
      </c>
      <c r="K150" t="s">
        <v>30</v>
      </c>
      <c r="L150">
        <v>0</v>
      </c>
    </row>
    <row r="151" spans="1:12" x14ac:dyDescent="0.25">
      <c r="A151" s="2">
        <v>46059</v>
      </c>
      <c r="B151" s="2">
        <v>46054</v>
      </c>
      <c r="C151" t="s">
        <v>6</v>
      </c>
      <c r="D151" t="s">
        <v>59</v>
      </c>
      <c r="E151" t="s">
        <v>27</v>
      </c>
      <c r="F151" t="s">
        <v>11</v>
      </c>
      <c r="G151" t="s">
        <v>41</v>
      </c>
      <c r="H151" t="s">
        <v>189</v>
      </c>
      <c r="I151">
        <v>15</v>
      </c>
      <c r="J151">
        <v>0</v>
      </c>
      <c r="K151" t="s">
        <v>30</v>
      </c>
      <c r="L151">
        <v>0</v>
      </c>
    </row>
    <row r="152" spans="1:12" x14ac:dyDescent="0.25">
      <c r="A152" s="2">
        <v>46076</v>
      </c>
      <c r="B152" s="2">
        <v>46054</v>
      </c>
      <c r="C152" t="s">
        <v>6</v>
      </c>
      <c r="D152" t="s">
        <v>38</v>
      </c>
      <c r="E152" t="s">
        <v>32</v>
      </c>
      <c r="F152" t="s">
        <v>11</v>
      </c>
      <c r="G152" t="s">
        <v>28</v>
      </c>
      <c r="H152" t="s">
        <v>190</v>
      </c>
      <c r="I152">
        <v>9</v>
      </c>
      <c r="J152">
        <v>2</v>
      </c>
      <c r="K152" t="s">
        <v>30</v>
      </c>
      <c r="L152">
        <v>7086</v>
      </c>
    </row>
    <row r="153" spans="1:12" x14ac:dyDescent="0.25">
      <c r="A153" s="2">
        <v>46058</v>
      </c>
      <c r="B153" s="2">
        <v>46054</v>
      </c>
      <c r="C153" t="s">
        <v>5</v>
      </c>
      <c r="D153" t="s">
        <v>31</v>
      </c>
      <c r="E153" t="s">
        <v>27</v>
      </c>
      <c r="F153" t="s">
        <v>10</v>
      </c>
      <c r="G153" t="s">
        <v>33</v>
      </c>
      <c r="H153" t="s">
        <v>191</v>
      </c>
      <c r="I153">
        <v>15</v>
      </c>
      <c r="J153">
        <v>5</v>
      </c>
      <c r="K153" t="s">
        <v>30</v>
      </c>
      <c r="L153">
        <v>5704</v>
      </c>
    </row>
    <row r="154" spans="1:12" x14ac:dyDescent="0.25">
      <c r="A154" s="2">
        <v>46055</v>
      </c>
      <c r="B154" s="2">
        <v>46054</v>
      </c>
      <c r="C154" t="s">
        <v>2</v>
      </c>
      <c r="D154" t="s">
        <v>45</v>
      </c>
      <c r="E154" t="s">
        <v>36</v>
      </c>
      <c r="F154" t="s">
        <v>10</v>
      </c>
      <c r="G154" t="s">
        <v>33</v>
      </c>
      <c r="H154" t="s">
        <v>192</v>
      </c>
      <c r="I154">
        <v>18</v>
      </c>
      <c r="J154">
        <v>6</v>
      </c>
      <c r="K154" t="s">
        <v>30</v>
      </c>
      <c r="L154">
        <v>11396</v>
      </c>
    </row>
    <row r="155" spans="1:12" x14ac:dyDescent="0.25">
      <c r="A155" s="2">
        <v>46071</v>
      </c>
      <c r="B155" s="2">
        <v>46054</v>
      </c>
      <c r="C155" t="s">
        <v>6</v>
      </c>
      <c r="D155" t="s">
        <v>59</v>
      </c>
      <c r="E155" t="s">
        <v>27</v>
      </c>
      <c r="F155" t="s">
        <v>12</v>
      </c>
      <c r="G155" t="s">
        <v>28</v>
      </c>
      <c r="H155" t="s">
        <v>193</v>
      </c>
      <c r="I155">
        <v>11</v>
      </c>
      <c r="J155">
        <v>2</v>
      </c>
      <c r="K155" t="s">
        <v>30</v>
      </c>
      <c r="L155">
        <v>3451</v>
      </c>
    </row>
    <row r="156" spans="1:12" x14ac:dyDescent="0.25">
      <c r="A156" s="2">
        <v>46068</v>
      </c>
      <c r="B156" s="2">
        <v>46054</v>
      </c>
      <c r="C156" t="s">
        <v>5</v>
      </c>
      <c r="D156" t="s">
        <v>31</v>
      </c>
      <c r="E156" t="s">
        <v>36</v>
      </c>
      <c r="F156" t="s">
        <v>12</v>
      </c>
      <c r="G156" t="s">
        <v>28</v>
      </c>
      <c r="H156" t="s">
        <v>194</v>
      </c>
      <c r="I156">
        <v>6</v>
      </c>
      <c r="J156">
        <v>0</v>
      </c>
      <c r="K156" t="s">
        <v>30</v>
      </c>
      <c r="L156">
        <v>0</v>
      </c>
    </row>
    <row r="157" spans="1:12" x14ac:dyDescent="0.25">
      <c r="A157" s="2">
        <v>46072</v>
      </c>
      <c r="B157" s="2">
        <v>46054</v>
      </c>
      <c r="C157" t="s">
        <v>5</v>
      </c>
      <c r="D157" t="s">
        <v>31</v>
      </c>
      <c r="E157" t="s">
        <v>32</v>
      </c>
      <c r="F157" t="s">
        <v>12</v>
      </c>
      <c r="G157" t="s">
        <v>33</v>
      </c>
      <c r="H157" t="s">
        <v>195</v>
      </c>
      <c r="I157">
        <v>21</v>
      </c>
      <c r="J157">
        <v>2</v>
      </c>
      <c r="K157" t="s">
        <v>30</v>
      </c>
      <c r="L157">
        <v>2657</v>
      </c>
    </row>
    <row r="158" spans="1:12" x14ac:dyDescent="0.25">
      <c r="A158" s="2">
        <v>46067</v>
      </c>
      <c r="B158" s="2">
        <v>46054</v>
      </c>
      <c r="C158" t="s">
        <v>5</v>
      </c>
      <c r="D158" t="s">
        <v>45</v>
      </c>
      <c r="E158" t="s">
        <v>32</v>
      </c>
      <c r="F158" t="s">
        <v>12</v>
      </c>
      <c r="G158" t="s">
        <v>28</v>
      </c>
      <c r="H158" t="s">
        <v>196</v>
      </c>
      <c r="I158">
        <v>12</v>
      </c>
      <c r="J158">
        <v>3</v>
      </c>
      <c r="K158" t="s">
        <v>30</v>
      </c>
      <c r="L158">
        <v>4349</v>
      </c>
    </row>
    <row r="159" spans="1:12" x14ac:dyDescent="0.25">
      <c r="A159" s="2">
        <v>46075</v>
      </c>
      <c r="B159" s="2">
        <v>46054</v>
      </c>
      <c r="C159" t="s">
        <v>5</v>
      </c>
      <c r="D159" t="s">
        <v>59</v>
      </c>
      <c r="E159" t="s">
        <v>32</v>
      </c>
      <c r="F159" t="s">
        <v>12</v>
      </c>
      <c r="G159" t="s">
        <v>28</v>
      </c>
      <c r="H159" t="s">
        <v>197</v>
      </c>
      <c r="I159">
        <v>4</v>
      </c>
      <c r="J159">
        <v>1</v>
      </c>
      <c r="K159" t="s">
        <v>30</v>
      </c>
      <c r="L159">
        <v>1417</v>
      </c>
    </row>
    <row r="160" spans="1:12" x14ac:dyDescent="0.25">
      <c r="A160" s="2">
        <v>46069</v>
      </c>
      <c r="B160" s="2">
        <v>46054</v>
      </c>
      <c r="C160" t="s">
        <v>2</v>
      </c>
      <c r="D160" t="s">
        <v>38</v>
      </c>
      <c r="E160" t="s">
        <v>36</v>
      </c>
      <c r="F160" t="s">
        <v>10</v>
      </c>
      <c r="G160" t="s">
        <v>41</v>
      </c>
      <c r="H160" t="s">
        <v>198</v>
      </c>
      <c r="I160">
        <v>16</v>
      </c>
      <c r="J160">
        <v>4</v>
      </c>
      <c r="K160" t="s">
        <v>30</v>
      </c>
      <c r="L160">
        <v>15077</v>
      </c>
    </row>
    <row r="161" spans="1:12" x14ac:dyDescent="0.25">
      <c r="A161" s="2">
        <v>46080</v>
      </c>
      <c r="B161" s="2">
        <v>46054</v>
      </c>
      <c r="C161" t="s">
        <v>2</v>
      </c>
      <c r="D161" t="s">
        <v>31</v>
      </c>
      <c r="E161" t="s">
        <v>36</v>
      </c>
      <c r="F161" t="s">
        <v>12</v>
      </c>
      <c r="G161" t="s">
        <v>28</v>
      </c>
      <c r="H161" t="s">
        <v>140</v>
      </c>
      <c r="I161">
        <v>18</v>
      </c>
      <c r="J161">
        <v>1</v>
      </c>
      <c r="K161" t="s">
        <v>30</v>
      </c>
      <c r="L161">
        <v>2163</v>
      </c>
    </row>
    <row r="162" spans="1:12" x14ac:dyDescent="0.25">
      <c r="A162" s="2">
        <v>46054</v>
      </c>
      <c r="B162" s="2">
        <v>46054</v>
      </c>
      <c r="C162" t="s">
        <v>5</v>
      </c>
      <c r="D162" t="s">
        <v>26</v>
      </c>
      <c r="E162" t="s">
        <v>27</v>
      </c>
      <c r="F162" t="s">
        <v>11</v>
      </c>
      <c r="G162" t="s">
        <v>33</v>
      </c>
      <c r="H162" t="s">
        <v>199</v>
      </c>
      <c r="I162">
        <v>12</v>
      </c>
      <c r="J162">
        <v>3</v>
      </c>
      <c r="K162" t="s">
        <v>30</v>
      </c>
      <c r="L162">
        <v>7016</v>
      </c>
    </row>
    <row r="163" spans="1:12" x14ac:dyDescent="0.25">
      <c r="A163" s="2">
        <v>46080</v>
      </c>
      <c r="B163" s="2">
        <v>46054</v>
      </c>
      <c r="C163" t="s">
        <v>5</v>
      </c>
      <c r="D163" t="s">
        <v>38</v>
      </c>
      <c r="E163" t="s">
        <v>32</v>
      </c>
      <c r="F163" t="s">
        <v>12</v>
      </c>
      <c r="G163" t="s">
        <v>28</v>
      </c>
      <c r="H163" t="s">
        <v>200</v>
      </c>
      <c r="I163">
        <v>19</v>
      </c>
      <c r="J163">
        <v>6</v>
      </c>
      <c r="K163" t="s">
        <v>30</v>
      </c>
      <c r="L163">
        <v>5804</v>
      </c>
    </row>
    <row r="164" spans="1:12" x14ac:dyDescent="0.25">
      <c r="A164" s="2">
        <v>46068</v>
      </c>
      <c r="B164" s="2">
        <v>46054</v>
      </c>
      <c r="C164" t="s">
        <v>5</v>
      </c>
      <c r="D164" t="s">
        <v>35</v>
      </c>
      <c r="E164" t="s">
        <v>36</v>
      </c>
      <c r="F164" t="s">
        <v>11</v>
      </c>
      <c r="G164" t="s">
        <v>41</v>
      </c>
      <c r="H164" t="s">
        <v>201</v>
      </c>
      <c r="I164">
        <v>10</v>
      </c>
      <c r="J164">
        <v>3</v>
      </c>
      <c r="K164" t="s">
        <v>30</v>
      </c>
      <c r="L164">
        <v>9937</v>
      </c>
    </row>
    <row r="165" spans="1:12" x14ac:dyDescent="0.25">
      <c r="A165" s="2">
        <v>46064</v>
      </c>
      <c r="B165" s="2">
        <v>46054</v>
      </c>
      <c r="C165" t="s">
        <v>2</v>
      </c>
      <c r="D165" t="s">
        <v>38</v>
      </c>
      <c r="E165" t="s">
        <v>32</v>
      </c>
      <c r="F165" t="s">
        <v>12</v>
      </c>
      <c r="G165" t="s">
        <v>33</v>
      </c>
      <c r="H165" t="s">
        <v>202</v>
      </c>
      <c r="I165">
        <v>9</v>
      </c>
      <c r="J165">
        <v>3</v>
      </c>
      <c r="K165" t="s">
        <v>30</v>
      </c>
      <c r="L165">
        <v>10388</v>
      </c>
    </row>
    <row r="166" spans="1:12" x14ac:dyDescent="0.25">
      <c r="A166" s="2">
        <v>46076</v>
      </c>
      <c r="B166" s="2">
        <v>46054</v>
      </c>
      <c r="C166" t="s">
        <v>5</v>
      </c>
      <c r="D166" t="s">
        <v>38</v>
      </c>
      <c r="E166" t="s">
        <v>32</v>
      </c>
      <c r="F166" t="s">
        <v>12</v>
      </c>
      <c r="G166" t="s">
        <v>28</v>
      </c>
      <c r="H166" t="s">
        <v>203</v>
      </c>
      <c r="I166">
        <v>10</v>
      </c>
      <c r="J166">
        <v>0</v>
      </c>
      <c r="K166" t="s">
        <v>30</v>
      </c>
      <c r="L166">
        <v>0</v>
      </c>
    </row>
    <row r="167" spans="1:12" x14ac:dyDescent="0.25">
      <c r="A167" s="2">
        <v>46078</v>
      </c>
      <c r="B167" s="2">
        <v>46054</v>
      </c>
      <c r="C167" t="s">
        <v>6</v>
      </c>
      <c r="D167" t="s">
        <v>59</v>
      </c>
      <c r="E167" t="s">
        <v>36</v>
      </c>
      <c r="F167" t="s">
        <v>12</v>
      </c>
      <c r="G167" t="s">
        <v>41</v>
      </c>
      <c r="H167" t="s">
        <v>204</v>
      </c>
      <c r="I167">
        <v>6</v>
      </c>
      <c r="J167">
        <v>0</v>
      </c>
      <c r="K167" t="s">
        <v>30</v>
      </c>
      <c r="L167">
        <v>0</v>
      </c>
    </row>
    <row r="168" spans="1:12" x14ac:dyDescent="0.25">
      <c r="A168" s="2">
        <v>46104</v>
      </c>
      <c r="B168" s="2">
        <v>46082</v>
      </c>
      <c r="C168" t="s">
        <v>2</v>
      </c>
      <c r="D168" t="s">
        <v>35</v>
      </c>
      <c r="E168" t="s">
        <v>32</v>
      </c>
      <c r="F168" t="s">
        <v>12</v>
      </c>
      <c r="G168" t="s">
        <v>33</v>
      </c>
      <c r="H168" t="s">
        <v>205</v>
      </c>
      <c r="I168">
        <v>5</v>
      </c>
      <c r="J168">
        <v>0</v>
      </c>
      <c r="K168" t="s">
        <v>30</v>
      </c>
      <c r="L168">
        <v>0</v>
      </c>
    </row>
    <row r="169" spans="1:12" x14ac:dyDescent="0.25">
      <c r="A169" s="2">
        <v>46107</v>
      </c>
      <c r="B169" s="2">
        <v>46082</v>
      </c>
      <c r="C169" t="s">
        <v>6</v>
      </c>
      <c r="D169" t="s">
        <v>45</v>
      </c>
      <c r="E169" t="s">
        <v>36</v>
      </c>
      <c r="F169" t="s">
        <v>12</v>
      </c>
      <c r="G169" t="s">
        <v>28</v>
      </c>
      <c r="H169" t="s">
        <v>206</v>
      </c>
      <c r="I169">
        <v>15</v>
      </c>
      <c r="J169">
        <v>5</v>
      </c>
      <c r="K169" t="s">
        <v>30</v>
      </c>
      <c r="L169">
        <v>13140</v>
      </c>
    </row>
    <row r="170" spans="1:12" x14ac:dyDescent="0.25">
      <c r="A170" s="2">
        <v>46105</v>
      </c>
      <c r="B170" s="2">
        <v>46082</v>
      </c>
      <c r="C170" t="s">
        <v>2</v>
      </c>
      <c r="D170" t="s">
        <v>31</v>
      </c>
      <c r="E170" t="s">
        <v>27</v>
      </c>
      <c r="F170" t="s">
        <v>10</v>
      </c>
      <c r="G170" t="s">
        <v>41</v>
      </c>
      <c r="H170" t="s">
        <v>207</v>
      </c>
      <c r="I170">
        <v>5</v>
      </c>
      <c r="J170">
        <v>1</v>
      </c>
      <c r="K170" t="s">
        <v>30</v>
      </c>
      <c r="L170">
        <v>1409</v>
      </c>
    </row>
    <row r="171" spans="1:12" x14ac:dyDescent="0.25">
      <c r="A171" s="2">
        <v>46096</v>
      </c>
      <c r="B171" s="2">
        <v>46082</v>
      </c>
      <c r="C171" t="s">
        <v>2</v>
      </c>
      <c r="D171" t="s">
        <v>31</v>
      </c>
      <c r="E171" t="s">
        <v>32</v>
      </c>
      <c r="F171" t="s">
        <v>10</v>
      </c>
      <c r="G171" t="s">
        <v>33</v>
      </c>
      <c r="H171" t="s">
        <v>208</v>
      </c>
      <c r="I171">
        <v>9</v>
      </c>
      <c r="J171">
        <v>0</v>
      </c>
      <c r="K171" t="s">
        <v>30</v>
      </c>
      <c r="L171">
        <v>0</v>
      </c>
    </row>
    <row r="172" spans="1:12" x14ac:dyDescent="0.25">
      <c r="A172" s="2">
        <v>46082</v>
      </c>
      <c r="B172" s="2">
        <v>46082</v>
      </c>
      <c r="C172" t="s">
        <v>6</v>
      </c>
      <c r="D172" t="s">
        <v>35</v>
      </c>
      <c r="E172" t="s">
        <v>32</v>
      </c>
      <c r="F172" t="s">
        <v>11</v>
      </c>
      <c r="G172" t="s">
        <v>33</v>
      </c>
      <c r="H172" t="s">
        <v>209</v>
      </c>
      <c r="I172">
        <v>7</v>
      </c>
      <c r="J172">
        <v>2</v>
      </c>
      <c r="K172" t="s">
        <v>30</v>
      </c>
      <c r="L172">
        <v>5641</v>
      </c>
    </row>
    <row r="173" spans="1:12" x14ac:dyDescent="0.25">
      <c r="A173" s="2">
        <v>46100</v>
      </c>
      <c r="B173" s="2">
        <v>46082</v>
      </c>
      <c r="C173" t="s">
        <v>5</v>
      </c>
      <c r="D173" t="s">
        <v>38</v>
      </c>
      <c r="E173" t="s">
        <v>36</v>
      </c>
      <c r="F173" t="s">
        <v>10</v>
      </c>
      <c r="G173" t="s">
        <v>41</v>
      </c>
      <c r="H173" t="s">
        <v>210</v>
      </c>
      <c r="I173">
        <v>19</v>
      </c>
      <c r="J173">
        <v>6</v>
      </c>
      <c r="K173" t="s">
        <v>30</v>
      </c>
      <c r="L173">
        <v>7866</v>
      </c>
    </row>
    <row r="174" spans="1:12" x14ac:dyDescent="0.25">
      <c r="A174" s="2">
        <v>46109</v>
      </c>
      <c r="B174" s="2">
        <v>46082</v>
      </c>
      <c r="C174" t="s">
        <v>5</v>
      </c>
      <c r="D174" t="s">
        <v>59</v>
      </c>
      <c r="E174" t="s">
        <v>32</v>
      </c>
      <c r="F174" t="s">
        <v>10</v>
      </c>
      <c r="G174" t="s">
        <v>28</v>
      </c>
      <c r="H174" t="s">
        <v>211</v>
      </c>
      <c r="I174">
        <v>6</v>
      </c>
      <c r="J174">
        <v>2</v>
      </c>
      <c r="K174" t="s">
        <v>30</v>
      </c>
      <c r="L174">
        <v>3898</v>
      </c>
    </row>
    <row r="175" spans="1:12" x14ac:dyDescent="0.25">
      <c r="A175" s="2">
        <v>46096</v>
      </c>
      <c r="B175" s="2">
        <v>46082</v>
      </c>
      <c r="C175" t="s">
        <v>5</v>
      </c>
      <c r="D175" t="s">
        <v>26</v>
      </c>
      <c r="E175" t="s">
        <v>32</v>
      </c>
      <c r="F175" t="s">
        <v>10</v>
      </c>
      <c r="G175" t="s">
        <v>28</v>
      </c>
      <c r="H175" t="s">
        <v>212</v>
      </c>
      <c r="I175">
        <v>4</v>
      </c>
      <c r="J175">
        <v>1</v>
      </c>
      <c r="K175" t="s">
        <v>30</v>
      </c>
      <c r="L175">
        <v>1155</v>
      </c>
    </row>
    <row r="176" spans="1:12" x14ac:dyDescent="0.25">
      <c r="A176" s="2">
        <v>46092</v>
      </c>
      <c r="B176" s="2">
        <v>46082</v>
      </c>
      <c r="C176" t="s">
        <v>2</v>
      </c>
      <c r="D176" t="s">
        <v>45</v>
      </c>
      <c r="E176" t="s">
        <v>32</v>
      </c>
      <c r="F176" t="s">
        <v>11</v>
      </c>
      <c r="G176" t="s">
        <v>41</v>
      </c>
      <c r="H176" t="s">
        <v>213</v>
      </c>
      <c r="I176">
        <v>22</v>
      </c>
      <c r="J176">
        <v>5</v>
      </c>
      <c r="K176" t="s">
        <v>30</v>
      </c>
      <c r="L176">
        <v>10786</v>
      </c>
    </row>
    <row r="177" spans="1:12" x14ac:dyDescent="0.25">
      <c r="A177" s="2">
        <v>46083</v>
      </c>
      <c r="B177" s="2">
        <v>46082</v>
      </c>
      <c r="C177" t="s">
        <v>5</v>
      </c>
      <c r="D177" t="s">
        <v>38</v>
      </c>
      <c r="E177" t="s">
        <v>32</v>
      </c>
      <c r="F177" t="s">
        <v>11</v>
      </c>
      <c r="G177" t="s">
        <v>41</v>
      </c>
      <c r="H177" t="s">
        <v>214</v>
      </c>
      <c r="I177">
        <v>13</v>
      </c>
      <c r="J177">
        <v>2</v>
      </c>
      <c r="K177" t="s">
        <v>30</v>
      </c>
      <c r="L177">
        <v>3632</v>
      </c>
    </row>
    <row r="178" spans="1:12" x14ac:dyDescent="0.25">
      <c r="A178" s="2">
        <v>46098</v>
      </c>
      <c r="B178" s="2">
        <v>46082</v>
      </c>
      <c r="C178" t="s">
        <v>6</v>
      </c>
      <c r="D178" t="s">
        <v>59</v>
      </c>
      <c r="E178" t="s">
        <v>36</v>
      </c>
      <c r="F178" t="s">
        <v>10</v>
      </c>
      <c r="G178" t="s">
        <v>33</v>
      </c>
      <c r="H178" t="s">
        <v>215</v>
      </c>
      <c r="I178">
        <v>4</v>
      </c>
      <c r="J178">
        <v>0</v>
      </c>
      <c r="K178" t="s">
        <v>30</v>
      </c>
      <c r="L178">
        <v>0</v>
      </c>
    </row>
    <row r="179" spans="1:12" x14ac:dyDescent="0.25">
      <c r="A179" s="2">
        <v>46107</v>
      </c>
      <c r="B179" s="2">
        <v>46082</v>
      </c>
      <c r="C179" t="s">
        <v>2</v>
      </c>
      <c r="D179" t="s">
        <v>45</v>
      </c>
      <c r="E179" t="s">
        <v>27</v>
      </c>
      <c r="F179" t="s">
        <v>12</v>
      </c>
      <c r="G179" t="s">
        <v>28</v>
      </c>
      <c r="H179" t="s">
        <v>216</v>
      </c>
      <c r="I179">
        <v>21</v>
      </c>
      <c r="J179">
        <v>6</v>
      </c>
      <c r="K179" t="s">
        <v>30</v>
      </c>
      <c r="L179">
        <v>12489</v>
      </c>
    </row>
    <row r="180" spans="1:12" x14ac:dyDescent="0.25">
      <c r="A180" s="2">
        <v>46088</v>
      </c>
      <c r="B180" s="2">
        <v>46082</v>
      </c>
      <c r="C180" t="s">
        <v>5</v>
      </c>
      <c r="D180" t="s">
        <v>35</v>
      </c>
      <c r="E180" t="s">
        <v>36</v>
      </c>
      <c r="F180" t="s">
        <v>11</v>
      </c>
      <c r="G180" t="s">
        <v>33</v>
      </c>
      <c r="H180" t="s">
        <v>217</v>
      </c>
      <c r="I180">
        <v>15</v>
      </c>
      <c r="J180">
        <v>4</v>
      </c>
      <c r="K180" t="s">
        <v>30</v>
      </c>
      <c r="L180">
        <v>7224</v>
      </c>
    </row>
    <row r="181" spans="1:12" x14ac:dyDescent="0.25">
      <c r="A181" s="2">
        <v>46099</v>
      </c>
      <c r="B181" s="2">
        <v>46082</v>
      </c>
      <c r="C181" t="s">
        <v>2</v>
      </c>
      <c r="D181" t="s">
        <v>31</v>
      </c>
      <c r="E181" t="s">
        <v>36</v>
      </c>
      <c r="F181" t="s">
        <v>12</v>
      </c>
      <c r="G181" t="s">
        <v>41</v>
      </c>
      <c r="H181" t="s">
        <v>218</v>
      </c>
      <c r="I181">
        <v>6</v>
      </c>
      <c r="J181">
        <v>1</v>
      </c>
      <c r="K181" t="s">
        <v>30</v>
      </c>
      <c r="L181">
        <v>2281</v>
      </c>
    </row>
    <row r="182" spans="1:12" x14ac:dyDescent="0.25">
      <c r="A182" s="2">
        <v>46088</v>
      </c>
      <c r="B182" s="2">
        <v>46082</v>
      </c>
      <c r="C182" t="s">
        <v>5</v>
      </c>
      <c r="D182" t="s">
        <v>59</v>
      </c>
      <c r="E182" t="s">
        <v>27</v>
      </c>
      <c r="F182" t="s">
        <v>11</v>
      </c>
      <c r="G182" t="s">
        <v>33</v>
      </c>
      <c r="H182" t="s">
        <v>219</v>
      </c>
      <c r="I182">
        <v>15</v>
      </c>
      <c r="J182">
        <v>3</v>
      </c>
      <c r="K182" t="s">
        <v>30</v>
      </c>
      <c r="L182">
        <v>6466</v>
      </c>
    </row>
    <row r="183" spans="1:12" x14ac:dyDescent="0.25">
      <c r="A183" s="2">
        <v>46101</v>
      </c>
      <c r="B183" s="2">
        <v>46082</v>
      </c>
      <c r="C183" t="s">
        <v>6</v>
      </c>
      <c r="D183" t="s">
        <v>31</v>
      </c>
      <c r="E183" t="s">
        <v>36</v>
      </c>
      <c r="F183" t="s">
        <v>12</v>
      </c>
      <c r="G183" t="s">
        <v>41</v>
      </c>
      <c r="H183" t="s">
        <v>220</v>
      </c>
      <c r="I183">
        <v>15</v>
      </c>
      <c r="J183">
        <v>0</v>
      </c>
      <c r="K183" t="s">
        <v>30</v>
      </c>
      <c r="L183">
        <v>0</v>
      </c>
    </row>
    <row r="184" spans="1:12" x14ac:dyDescent="0.25">
      <c r="A184" s="2">
        <v>46104</v>
      </c>
      <c r="B184" s="2">
        <v>46082</v>
      </c>
      <c r="C184" t="s">
        <v>2</v>
      </c>
      <c r="D184" t="s">
        <v>35</v>
      </c>
      <c r="E184" t="s">
        <v>36</v>
      </c>
      <c r="F184" t="s">
        <v>10</v>
      </c>
      <c r="G184" t="s">
        <v>33</v>
      </c>
      <c r="H184" t="s">
        <v>221</v>
      </c>
      <c r="I184">
        <v>9</v>
      </c>
      <c r="J184">
        <v>2</v>
      </c>
      <c r="K184" t="s">
        <v>30</v>
      </c>
      <c r="L184">
        <v>5810</v>
      </c>
    </row>
    <row r="185" spans="1:12" x14ac:dyDescent="0.25">
      <c r="A185" s="2">
        <v>46089</v>
      </c>
      <c r="B185" s="2">
        <v>46082</v>
      </c>
      <c r="C185" t="s">
        <v>5</v>
      </c>
      <c r="D185" t="s">
        <v>35</v>
      </c>
      <c r="E185" t="s">
        <v>32</v>
      </c>
      <c r="F185" t="s">
        <v>11</v>
      </c>
      <c r="G185" t="s">
        <v>33</v>
      </c>
      <c r="H185" t="s">
        <v>222</v>
      </c>
      <c r="I185">
        <v>4</v>
      </c>
      <c r="J185">
        <v>0</v>
      </c>
      <c r="K185" t="s">
        <v>30</v>
      </c>
      <c r="L185">
        <v>0</v>
      </c>
    </row>
    <row r="186" spans="1:12" x14ac:dyDescent="0.25">
      <c r="A186" s="2">
        <v>46100</v>
      </c>
      <c r="B186" s="2">
        <v>46082</v>
      </c>
      <c r="C186" t="s">
        <v>2</v>
      </c>
      <c r="D186" t="s">
        <v>26</v>
      </c>
      <c r="E186" t="s">
        <v>36</v>
      </c>
      <c r="F186" t="s">
        <v>10</v>
      </c>
      <c r="G186" t="s">
        <v>33</v>
      </c>
      <c r="H186" t="s">
        <v>223</v>
      </c>
      <c r="I186">
        <v>14</v>
      </c>
      <c r="J186">
        <v>2</v>
      </c>
      <c r="K186" t="s">
        <v>30</v>
      </c>
      <c r="L186">
        <v>5645</v>
      </c>
    </row>
    <row r="187" spans="1:12" x14ac:dyDescent="0.25">
      <c r="A187" s="2">
        <v>46091</v>
      </c>
      <c r="B187" s="2">
        <v>46082</v>
      </c>
      <c r="C187" t="s">
        <v>2</v>
      </c>
      <c r="D187" t="s">
        <v>59</v>
      </c>
      <c r="E187" t="s">
        <v>32</v>
      </c>
      <c r="F187" t="s">
        <v>11</v>
      </c>
      <c r="G187" t="s">
        <v>28</v>
      </c>
      <c r="H187" t="s">
        <v>224</v>
      </c>
      <c r="I187">
        <v>6</v>
      </c>
      <c r="J187">
        <v>0</v>
      </c>
      <c r="K187" t="s">
        <v>30</v>
      </c>
      <c r="L187">
        <v>0</v>
      </c>
    </row>
    <row r="188" spans="1:12" x14ac:dyDescent="0.25">
      <c r="A188" s="2">
        <v>46098</v>
      </c>
      <c r="B188" s="2">
        <v>46082</v>
      </c>
      <c r="C188" t="s">
        <v>6</v>
      </c>
      <c r="D188" t="s">
        <v>26</v>
      </c>
      <c r="E188" t="s">
        <v>36</v>
      </c>
      <c r="F188" t="s">
        <v>11</v>
      </c>
      <c r="G188" t="s">
        <v>33</v>
      </c>
      <c r="H188" t="s">
        <v>225</v>
      </c>
      <c r="I188">
        <v>8</v>
      </c>
      <c r="J188">
        <v>2</v>
      </c>
      <c r="K188" t="s">
        <v>30</v>
      </c>
      <c r="L188">
        <v>6462</v>
      </c>
    </row>
    <row r="189" spans="1:12" x14ac:dyDescent="0.25">
      <c r="A189" s="2">
        <v>46090</v>
      </c>
      <c r="B189" s="2">
        <v>46082</v>
      </c>
      <c r="C189" t="s">
        <v>2</v>
      </c>
      <c r="D189" t="s">
        <v>45</v>
      </c>
      <c r="E189" t="s">
        <v>27</v>
      </c>
      <c r="F189" t="s">
        <v>11</v>
      </c>
      <c r="G189" t="s">
        <v>41</v>
      </c>
      <c r="H189" t="s">
        <v>226</v>
      </c>
      <c r="I189">
        <v>5</v>
      </c>
      <c r="J189">
        <v>1</v>
      </c>
      <c r="K189" t="s">
        <v>30</v>
      </c>
      <c r="L189">
        <v>1954</v>
      </c>
    </row>
    <row r="190" spans="1:12" x14ac:dyDescent="0.25">
      <c r="A190" s="2">
        <v>46088</v>
      </c>
      <c r="B190" s="2">
        <v>46082</v>
      </c>
      <c r="C190" t="s">
        <v>2</v>
      </c>
      <c r="D190" t="s">
        <v>35</v>
      </c>
      <c r="E190" t="s">
        <v>32</v>
      </c>
      <c r="F190" t="s">
        <v>12</v>
      </c>
      <c r="G190" t="s">
        <v>28</v>
      </c>
      <c r="H190" t="s">
        <v>227</v>
      </c>
      <c r="I190">
        <v>22</v>
      </c>
      <c r="J190">
        <v>3</v>
      </c>
      <c r="K190" t="s">
        <v>30</v>
      </c>
      <c r="L190">
        <v>7970</v>
      </c>
    </row>
    <row r="191" spans="1:12" x14ac:dyDescent="0.25">
      <c r="A191" s="2">
        <v>46082</v>
      </c>
      <c r="B191" s="2">
        <v>46082</v>
      </c>
      <c r="C191" t="s">
        <v>6</v>
      </c>
      <c r="D191" t="s">
        <v>45</v>
      </c>
      <c r="E191" t="s">
        <v>32</v>
      </c>
      <c r="F191" t="s">
        <v>12</v>
      </c>
      <c r="G191" t="s">
        <v>33</v>
      </c>
      <c r="H191" t="s">
        <v>228</v>
      </c>
      <c r="I191">
        <v>19</v>
      </c>
      <c r="J191">
        <v>4</v>
      </c>
      <c r="K191" t="s">
        <v>30</v>
      </c>
      <c r="L191">
        <v>10812</v>
      </c>
    </row>
    <row r="192" spans="1:12" x14ac:dyDescent="0.25">
      <c r="A192" s="2">
        <v>46097</v>
      </c>
      <c r="B192" s="2">
        <v>46082</v>
      </c>
      <c r="C192" t="s">
        <v>2</v>
      </c>
      <c r="D192" t="s">
        <v>59</v>
      </c>
      <c r="E192" t="s">
        <v>36</v>
      </c>
      <c r="F192" t="s">
        <v>11</v>
      </c>
      <c r="G192" t="s">
        <v>33</v>
      </c>
      <c r="H192" t="s">
        <v>229</v>
      </c>
      <c r="I192">
        <v>14</v>
      </c>
      <c r="J192">
        <v>0</v>
      </c>
      <c r="K192" t="s">
        <v>52</v>
      </c>
      <c r="L192">
        <v>0</v>
      </c>
    </row>
    <row r="193" spans="1:12" x14ac:dyDescent="0.25">
      <c r="A193" s="2">
        <v>46093</v>
      </c>
      <c r="B193" s="2">
        <v>46082</v>
      </c>
      <c r="C193" t="s">
        <v>5</v>
      </c>
      <c r="D193" t="s">
        <v>59</v>
      </c>
      <c r="E193" t="s">
        <v>32</v>
      </c>
      <c r="F193" t="s">
        <v>11</v>
      </c>
      <c r="G193" t="s">
        <v>41</v>
      </c>
      <c r="H193" t="s">
        <v>230</v>
      </c>
      <c r="I193">
        <v>20</v>
      </c>
      <c r="J193">
        <v>3</v>
      </c>
      <c r="K193" t="s">
        <v>30</v>
      </c>
      <c r="L193">
        <v>4277</v>
      </c>
    </row>
    <row r="194" spans="1:12" x14ac:dyDescent="0.25">
      <c r="A194" s="2">
        <v>46103</v>
      </c>
      <c r="B194" s="2">
        <v>46082</v>
      </c>
      <c r="C194" t="s">
        <v>2</v>
      </c>
      <c r="D194" t="s">
        <v>35</v>
      </c>
      <c r="E194" t="s">
        <v>32</v>
      </c>
      <c r="F194" t="s">
        <v>10</v>
      </c>
      <c r="G194" t="s">
        <v>33</v>
      </c>
      <c r="H194" t="s">
        <v>231</v>
      </c>
      <c r="I194">
        <v>18</v>
      </c>
      <c r="J194">
        <v>3</v>
      </c>
      <c r="K194" t="s">
        <v>30</v>
      </c>
      <c r="L194">
        <v>2729</v>
      </c>
    </row>
    <row r="195" spans="1:12" x14ac:dyDescent="0.25">
      <c r="A195" s="2">
        <v>46097</v>
      </c>
      <c r="B195" s="2">
        <v>46082</v>
      </c>
      <c r="C195" t="s">
        <v>2</v>
      </c>
      <c r="D195" t="s">
        <v>45</v>
      </c>
      <c r="E195" t="s">
        <v>32</v>
      </c>
      <c r="F195" t="s">
        <v>11</v>
      </c>
      <c r="G195" t="s">
        <v>33</v>
      </c>
      <c r="H195" t="s">
        <v>232</v>
      </c>
      <c r="I195">
        <v>5</v>
      </c>
      <c r="J195">
        <v>0</v>
      </c>
      <c r="K195" t="s">
        <v>30</v>
      </c>
      <c r="L195">
        <v>0</v>
      </c>
    </row>
    <row r="196" spans="1:12" x14ac:dyDescent="0.25">
      <c r="A196" s="2">
        <v>46105</v>
      </c>
      <c r="B196" s="2">
        <v>46082</v>
      </c>
      <c r="C196" t="s">
        <v>6</v>
      </c>
      <c r="D196" t="s">
        <v>45</v>
      </c>
      <c r="E196" t="s">
        <v>32</v>
      </c>
      <c r="F196" t="s">
        <v>11</v>
      </c>
      <c r="G196" t="s">
        <v>28</v>
      </c>
      <c r="H196" t="s">
        <v>233</v>
      </c>
      <c r="I196">
        <v>12</v>
      </c>
      <c r="J196">
        <v>4</v>
      </c>
      <c r="K196" t="s">
        <v>30</v>
      </c>
      <c r="L196">
        <v>9297</v>
      </c>
    </row>
    <row r="197" spans="1:12" x14ac:dyDescent="0.25">
      <c r="A197" s="2">
        <v>46107</v>
      </c>
      <c r="B197" s="2">
        <v>46082</v>
      </c>
      <c r="C197" t="s">
        <v>5</v>
      </c>
      <c r="D197" t="s">
        <v>45</v>
      </c>
      <c r="E197" t="s">
        <v>36</v>
      </c>
      <c r="F197" t="s">
        <v>12</v>
      </c>
      <c r="G197" t="s">
        <v>41</v>
      </c>
      <c r="H197" t="s">
        <v>234</v>
      </c>
      <c r="I197">
        <v>13</v>
      </c>
      <c r="J197">
        <v>3</v>
      </c>
      <c r="K197" t="s">
        <v>30</v>
      </c>
      <c r="L197">
        <v>9050</v>
      </c>
    </row>
    <row r="198" spans="1:12" x14ac:dyDescent="0.25">
      <c r="A198" s="2">
        <v>46091</v>
      </c>
      <c r="B198" s="2">
        <v>46082</v>
      </c>
      <c r="C198" t="s">
        <v>2</v>
      </c>
      <c r="D198" t="s">
        <v>26</v>
      </c>
      <c r="E198" t="s">
        <v>27</v>
      </c>
      <c r="F198" t="s">
        <v>12</v>
      </c>
      <c r="G198" t="s">
        <v>41</v>
      </c>
      <c r="H198" t="s">
        <v>235</v>
      </c>
      <c r="I198">
        <v>11</v>
      </c>
      <c r="J198">
        <v>0</v>
      </c>
      <c r="K198" t="s">
        <v>30</v>
      </c>
      <c r="L198">
        <v>0</v>
      </c>
    </row>
    <row r="199" spans="1:12" x14ac:dyDescent="0.25">
      <c r="A199" s="2">
        <v>46095</v>
      </c>
      <c r="B199" s="2">
        <v>46082</v>
      </c>
      <c r="C199" t="s">
        <v>2</v>
      </c>
      <c r="D199" t="s">
        <v>35</v>
      </c>
      <c r="E199" t="s">
        <v>27</v>
      </c>
      <c r="F199" t="s">
        <v>12</v>
      </c>
      <c r="G199" t="s">
        <v>41</v>
      </c>
      <c r="H199" t="s">
        <v>236</v>
      </c>
      <c r="I199">
        <v>9</v>
      </c>
      <c r="J199">
        <v>0</v>
      </c>
      <c r="K199" t="s">
        <v>30</v>
      </c>
      <c r="L199">
        <v>0</v>
      </c>
    </row>
    <row r="200" spans="1:12" x14ac:dyDescent="0.25">
      <c r="A200" s="2">
        <v>46091</v>
      </c>
      <c r="B200" s="2">
        <v>46082</v>
      </c>
      <c r="C200" t="s">
        <v>2</v>
      </c>
      <c r="D200" t="s">
        <v>31</v>
      </c>
      <c r="E200" t="s">
        <v>32</v>
      </c>
      <c r="F200" t="s">
        <v>12</v>
      </c>
      <c r="G200" t="s">
        <v>33</v>
      </c>
      <c r="H200" t="s">
        <v>237</v>
      </c>
      <c r="I200">
        <v>12</v>
      </c>
      <c r="J200">
        <v>4</v>
      </c>
      <c r="K200" t="s">
        <v>30</v>
      </c>
      <c r="L200">
        <v>9625</v>
      </c>
    </row>
    <row r="201" spans="1:12" x14ac:dyDescent="0.25">
      <c r="A201" s="2">
        <v>46082</v>
      </c>
      <c r="B201" s="2">
        <v>46082</v>
      </c>
      <c r="C201" t="s">
        <v>2</v>
      </c>
      <c r="D201" t="s">
        <v>35</v>
      </c>
      <c r="E201" t="s">
        <v>36</v>
      </c>
      <c r="F201" t="s">
        <v>10</v>
      </c>
      <c r="G201" t="s">
        <v>33</v>
      </c>
      <c r="H201" t="s">
        <v>238</v>
      </c>
      <c r="I201">
        <v>11</v>
      </c>
      <c r="J201">
        <v>2</v>
      </c>
      <c r="K201" t="s">
        <v>30</v>
      </c>
      <c r="L201">
        <v>3400</v>
      </c>
    </row>
    <row r="202" spans="1:12" x14ac:dyDescent="0.25">
      <c r="A202" s="2">
        <v>46088</v>
      </c>
      <c r="B202" s="2">
        <v>46082</v>
      </c>
      <c r="C202" t="s">
        <v>5</v>
      </c>
      <c r="D202" t="s">
        <v>59</v>
      </c>
      <c r="E202" t="s">
        <v>27</v>
      </c>
      <c r="F202" t="s">
        <v>12</v>
      </c>
      <c r="G202" t="s">
        <v>33</v>
      </c>
      <c r="H202" t="s">
        <v>239</v>
      </c>
      <c r="I202">
        <v>18</v>
      </c>
      <c r="J202">
        <v>3</v>
      </c>
      <c r="K202" t="s">
        <v>30</v>
      </c>
      <c r="L202">
        <v>9614</v>
      </c>
    </row>
    <row r="203" spans="1:12" x14ac:dyDescent="0.25">
      <c r="A203" s="2">
        <v>46108</v>
      </c>
      <c r="B203" s="2">
        <v>46082</v>
      </c>
      <c r="C203" t="s">
        <v>2</v>
      </c>
      <c r="D203" t="s">
        <v>59</v>
      </c>
      <c r="E203" t="s">
        <v>32</v>
      </c>
      <c r="F203" t="s">
        <v>12</v>
      </c>
      <c r="G203" t="s">
        <v>33</v>
      </c>
      <c r="H203" t="s">
        <v>240</v>
      </c>
      <c r="I203">
        <v>3</v>
      </c>
      <c r="J203">
        <v>1</v>
      </c>
      <c r="K203" t="s">
        <v>30</v>
      </c>
      <c r="L203">
        <v>3723</v>
      </c>
    </row>
    <row r="204" spans="1:12" x14ac:dyDescent="0.25">
      <c r="A204" s="2">
        <v>46096</v>
      </c>
      <c r="B204" s="2">
        <v>46082</v>
      </c>
      <c r="C204" t="s">
        <v>2</v>
      </c>
      <c r="D204" t="s">
        <v>31</v>
      </c>
      <c r="E204" t="s">
        <v>32</v>
      </c>
      <c r="F204" t="s">
        <v>12</v>
      </c>
      <c r="G204" t="s">
        <v>28</v>
      </c>
      <c r="H204" t="s">
        <v>241</v>
      </c>
      <c r="I204">
        <v>3</v>
      </c>
      <c r="J204">
        <v>1</v>
      </c>
      <c r="K204" t="s">
        <v>30</v>
      </c>
      <c r="L204">
        <v>3408</v>
      </c>
    </row>
    <row r="205" spans="1:12" x14ac:dyDescent="0.25">
      <c r="A205" s="2">
        <v>46096</v>
      </c>
      <c r="B205" s="2">
        <v>46082</v>
      </c>
      <c r="C205" t="s">
        <v>6</v>
      </c>
      <c r="D205" t="s">
        <v>38</v>
      </c>
      <c r="E205" t="s">
        <v>36</v>
      </c>
      <c r="F205" t="s">
        <v>12</v>
      </c>
      <c r="G205" t="s">
        <v>41</v>
      </c>
      <c r="H205" t="s">
        <v>242</v>
      </c>
      <c r="I205">
        <v>14</v>
      </c>
      <c r="J205">
        <v>4</v>
      </c>
      <c r="K205" t="s">
        <v>30</v>
      </c>
      <c r="L205">
        <v>5573</v>
      </c>
    </row>
    <row r="206" spans="1:12" x14ac:dyDescent="0.25">
      <c r="A206" s="2">
        <v>46092</v>
      </c>
      <c r="B206" s="2">
        <v>46082</v>
      </c>
      <c r="C206" t="s">
        <v>6</v>
      </c>
      <c r="D206" t="s">
        <v>26</v>
      </c>
      <c r="E206" t="s">
        <v>27</v>
      </c>
      <c r="F206" t="s">
        <v>11</v>
      </c>
      <c r="G206" t="s">
        <v>33</v>
      </c>
      <c r="H206" t="s">
        <v>243</v>
      </c>
      <c r="I206">
        <v>13</v>
      </c>
      <c r="J206">
        <v>2</v>
      </c>
      <c r="K206" t="s">
        <v>30</v>
      </c>
      <c r="L206">
        <v>6836</v>
      </c>
    </row>
    <row r="207" spans="1:12" x14ac:dyDescent="0.25">
      <c r="A207" s="2">
        <v>46093</v>
      </c>
      <c r="B207" s="2">
        <v>46082</v>
      </c>
      <c r="C207" t="s">
        <v>2</v>
      </c>
      <c r="D207" t="s">
        <v>45</v>
      </c>
      <c r="E207" t="s">
        <v>27</v>
      </c>
      <c r="F207" t="s">
        <v>12</v>
      </c>
      <c r="G207" t="s">
        <v>28</v>
      </c>
      <c r="H207" t="s">
        <v>244</v>
      </c>
      <c r="I207">
        <v>10</v>
      </c>
      <c r="J207">
        <v>2</v>
      </c>
      <c r="K207" t="s">
        <v>30</v>
      </c>
      <c r="L207">
        <v>4782</v>
      </c>
    </row>
    <row r="208" spans="1:12" x14ac:dyDescent="0.25">
      <c r="A208" s="2">
        <v>46084</v>
      </c>
      <c r="B208" s="2">
        <v>46082</v>
      </c>
      <c r="C208" t="s">
        <v>2</v>
      </c>
      <c r="D208" t="s">
        <v>31</v>
      </c>
      <c r="E208" t="s">
        <v>27</v>
      </c>
      <c r="F208" t="s">
        <v>10</v>
      </c>
      <c r="G208" t="s">
        <v>28</v>
      </c>
      <c r="H208" t="s">
        <v>245</v>
      </c>
      <c r="I208">
        <v>10</v>
      </c>
      <c r="J208">
        <v>3</v>
      </c>
      <c r="K208" t="s">
        <v>30</v>
      </c>
      <c r="L208">
        <v>6402</v>
      </c>
    </row>
    <row r="209" spans="1:12" x14ac:dyDescent="0.25">
      <c r="A209" s="2">
        <v>46102</v>
      </c>
      <c r="B209" s="2">
        <v>46082</v>
      </c>
      <c r="C209" t="s">
        <v>5</v>
      </c>
      <c r="D209" t="s">
        <v>35</v>
      </c>
      <c r="E209" t="s">
        <v>32</v>
      </c>
      <c r="F209" t="s">
        <v>12</v>
      </c>
      <c r="G209" t="s">
        <v>33</v>
      </c>
      <c r="H209" t="s">
        <v>246</v>
      </c>
      <c r="I209">
        <v>12</v>
      </c>
      <c r="J209">
        <v>0</v>
      </c>
      <c r="K209" t="s">
        <v>30</v>
      </c>
      <c r="L209">
        <v>0</v>
      </c>
    </row>
    <row r="210" spans="1:12" x14ac:dyDescent="0.25">
      <c r="A210" s="2">
        <v>46085</v>
      </c>
      <c r="B210" s="2">
        <v>46082</v>
      </c>
      <c r="C210" t="s">
        <v>2</v>
      </c>
      <c r="D210" t="s">
        <v>59</v>
      </c>
      <c r="E210" t="s">
        <v>36</v>
      </c>
      <c r="F210" t="s">
        <v>12</v>
      </c>
      <c r="G210" t="s">
        <v>33</v>
      </c>
      <c r="H210" t="s">
        <v>212</v>
      </c>
      <c r="I210">
        <v>16</v>
      </c>
      <c r="J210">
        <v>4</v>
      </c>
      <c r="K210" t="s">
        <v>30</v>
      </c>
      <c r="L210">
        <v>11246</v>
      </c>
    </row>
    <row r="211" spans="1:12" x14ac:dyDescent="0.25">
      <c r="A211" s="2">
        <v>46101</v>
      </c>
      <c r="B211" s="2">
        <v>46082</v>
      </c>
      <c r="C211" t="s">
        <v>6</v>
      </c>
      <c r="D211" t="s">
        <v>35</v>
      </c>
      <c r="E211" t="s">
        <v>27</v>
      </c>
      <c r="F211" t="s">
        <v>12</v>
      </c>
      <c r="G211" t="s">
        <v>33</v>
      </c>
      <c r="H211" t="s">
        <v>247</v>
      </c>
      <c r="I211">
        <v>6</v>
      </c>
      <c r="J211">
        <v>1</v>
      </c>
      <c r="K211" t="s">
        <v>30</v>
      </c>
      <c r="L211">
        <v>1897</v>
      </c>
    </row>
    <row r="212" spans="1:12" x14ac:dyDescent="0.25">
      <c r="A212" s="2">
        <v>46092</v>
      </c>
      <c r="B212" s="2">
        <v>46082</v>
      </c>
      <c r="C212" t="s">
        <v>6</v>
      </c>
      <c r="D212" t="s">
        <v>26</v>
      </c>
      <c r="E212" t="s">
        <v>32</v>
      </c>
      <c r="F212" t="s">
        <v>10</v>
      </c>
      <c r="G212" t="s">
        <v>41</v>
      </c>
      <c r="H212" t="s">
        <v>248</v>
      </c>
      <c r="I212">
        <v>16</v>
      </c>
      <c r="J212">
        <v>4</v>
      </c>
      <c r="K212" t="s">
        <v>30</v>
      </c>
      <c r="L212">
        <v>4073</v>
      </c>
    </row>
    <row r="213" spans="1:12" x14ac:dyDescent="0.25">
      <c r="A213" s="2">
        <v>46095</v>
      </c>
      <c r="B213" s="2">
        <v>46082</v>
      </c>
      <c r="C213" t="s">
        <v>2</v>
      </c>
      <c r="D213" t="s">
        <v>26</v>
      </c>
      <c r="E213" t="s">
        <v>27</v>
      </c>
      <c r="F213" t="s">
        <v>11</v>
      </c>
      <c r="G213" t="s">
        <v>33</v>
      </c>
      <c r="H213" t="s">
        <v>249</v>
      </c>
      <c r="I213">
        <v>9</v>
      </c>
      <c r="J213">
        <v>1</v>
      </c>
      <c r="K213" t="s">
        <v>30</v>
      </c>
      <c r="L213">
        <v>3216</v>
      </c>
    </row>
    <row r="214" spans="1:12" x14ac:dyDescent="0.25">
      <c r="A214" s="2">
        <v>46102</v>
      </c>
      <c r="B214" s="2">
        <v>46082</v>
      </c>
      <c r="C214" t="s">
        <v>5</v>
      </c>
      <c r="D214" t="s">
        <v>35</v>
      </c>
      <c r="E214" t="s">
        <v>27</v>
      </c>
      <c r="F214" t="s">
        <v>10</v>
      </c>
      <c r="G214" t="s">
        <v>33</v>
      </c>
      <c r="H214" t="s">
        <v>250</v>
      </c>
      <c r="I214">
        <v>19</v>
      </c>
      <c r="J214">
        <v>3</v>
      </c>
      <c r="K214" t="s">
        <v>30</v>
      </c>
      <c r="L214">
        <v>3011</v>
      </c>
    </row>
    <row r="215" spans="1:12" x14ac:dyDescent="0.25">
      <c r="A215" s="2">
        <v>46094</v>
      </c>
      <c r="B215" s="2">
        <v>46082</v>
      </c>
      <c r="C215" t="s">
        <v>2</v>
      </c>
      <c r="D215" t="s">
        <v>38</v>
      </c>
      <c r="E215" t="s">
        <v>36</v>
      </c>
      <c r="F215" t="s">
        <v>10</v>
      </c>
      <c r="G215" t="s">
        <v>33</v>
      </c>
      <c r="H215" t="s">
        <v>251</v>
      </c>
      <c r="I215">
        <v>15</v>
      </c>
      <c r="J215">
        <v>4</v>
      </c>
      <c r="K215" t="s">
        <v>30</v>
      </c>
      <c r="L215">
        <v>9555</v>
      </c>
    </row>
    <row r="216" spans="1:12" x14ac:dyDescent="0.25">
      <c r="A216" s="2">
        <v>46095</v>
      </c>
      <c r="B216" s="2">
        <v>46082</v>
      </c>
      <c r="C216" t="s">
        <v>5</v>
      </c>
      <c r="D216" t="s">
        <v>26</v>
      </c>
      <c r="E216" t="s">
        <v>27</v>
      </c>
      <c r="F216" t="s">
        <v>11</v>
      </c>
      <c r="G216" t="s">
        <v>28</v>
      </c>
      <c r="H216" t="s">
        <v>252</v>
      </c>
      <c r="I216">
        <v>20</v>
      </c>
      <c r="J216">
        <v>5</v>
      </c>
      <c r="K216" t="s">
        <v>30</v>
      </c>
      <c r="L216">
        <v>14293</v>
      </c>
    </row>
    <row r="217" spans="1:12" x14ac:dyDescent="0.25">
      <c r="A217" s="2">
        <v>46097</v>
      </c>
      <c r="B217" s="2">
        <v>46082</v>
      </c>
      <c r="C217" t="s">
        <v>2</v>
      </c>
      <c r="D217" t="s">
        <v>45</v>
      </c>
      <c r="E217" t="s">
        <v>27</v>
      </c>
      <c r="F217" t="s">
        <v>12</v>
      </c>
      <c r="G217" t="s">
        <v>33</v>
      </c>
      <c r="H217" t="s">
        <v>253</v>
      </c>
      <c r="I217">
        <v>17</v>
      </c>
      <c r="J217">
        <v>2</v>
      </c>
      <c r="K217" t="s">
        <v>30</v>
      </c>
      <c r="L217">
        <v>3445</v>
      </c>
    </row>
    <row r="218" spans="1:12" x14ac:dyDescent="0.25">
      <c r="A218" s="2">
        <v>46092</v>
      </c>
      <c r="B218" s="2">
        <v>46082</v>
      </c>
      <c r="C218" t="s">
        <v>2</v>
      </c>
      <c r="D218" t="s">
        <v>35</v>
      </c>
      <c r="E218" t="s">
        <v>27</v>
      </c>
      <c r="F218" t="s">
        <v>10</v>
      </c>
      <c r="G218" t="s">
        <v>28</v>
      </c>
      <c r="H218" t="s">
        <v>254</v>
      </c>
      <c r="I218">
        <v>15</v>
      </c>
      <c r="J218">
        <v>2</v>
      </c>
      <c r="K218" t="s">
        <v>30</v>
      </c>
      <c r="L218">
        <v>6996</v>
      </c>
    </row>
    <row r="219" spans="1:12" x14ac:dyDescent="0.25">
      <c r="A219" s="2">
        <v>46092</v>
      </c>
      <c r="B219" s="2">
        <v>46082</v>
      </c>
      <c r="C219" t="s">
        <v>6</v>
      </c>
      <c r="D219" t="s">
        <v>26</v>
      </c>
      <c r="E219" t="s">
        <v>36</v>
      </c>
      <c r="F219" t="s">
        <v>12</v>
      </c>
      <c r="G219" t="s">
        <v>33</v>
      </c>
      <c r="H219" t="s">
        <v>255</v>
      </c>
      <c r="I219">
        <v>19</v>
      </c>
      <c r="J219">
        <v>1</v>
      </c>
      <c r="K219" t="s">
        <v>30</v>
      </c>
      <c r="L219">
        <v>1382</v>
      </c>
    </row>
    <row r="220" spans="1:12" x14ac:dyDescent="0.25">
      <c r="A220" s="2">
        <v>46104</v>
      </c>
      <c r="B220" s="2">
        <v>46082</v>
      </c>
      <c r="C220" t="s">
        <v>5</v>
      </c>
      <c r="D220" t="s">
        <v>45</v>
      </c>
      <c r="E220" t="s">
        <v>32</v>
      </c>
      <c r="F220" t="s">
        <v>10</v>
      </c>
      <c r="G220" t="s">
        <v>28</v>
      </c>
      <c r="H220" t="s">
        <v>256</v>
      </c>
      <c r="I220">
        <v>8</v>
      </c>
      <c r="J220">
        <v>1</v>
      </c>
      <c r="K220" t="s">
        <v>30</v>
      </c>
      <c r="L220">
        <v>3228</v>
      </c>
    </row>
    <row r="221" spans="1:12" x14ac:dyDescent="0.25">
      <c r="A221" s="2">
        <v>46090</v>
      </c>
      <c r="B221" s="2">
        <v>46082</v>
      </c>
      <c r="C221" t="s">
        <v>6</v>
      </c>
      <c r="D221" t="s">
        <v>45</v>
      </c>
      <c r="E221" t="s">
        <v>27</v>
      </c>
      <c r="F221" t="s">
        <v>12</v>
      </c>
      <c r="G221" t="s">
        <v>41</v>
      </c>
      <c r="H221" t="s">
        <v>257</v>
      </c>
      <c r="I221">
        <v>13</v>
      </c>
      <c r="J221">
        <v>2</v>
      </c>
      <c r="K221" t="s">
        <v>30</v>
      </c>
      <c r="L221">
        <v>4860</v>
      </c>
    </row>
    <row r="222" spans="1:12" x14ac:dyDescent="0.25">
      <c r="A222" s="2">
        <v>46091</v>
      </c>
      <c r="B222" s="2">
        <v>46082</v>
      </c>
      <c r="C222" t="s">
        <v>5</v>
      </c>
      <c r="D222" t="s">
        <v>26</v>
      </c>
      <c r="E222" t="s">
        <v>32</v>
      </c>
      <c r="F222" t="s">
        <v>10</v>
      </c>
      <c r="G222" t="s">
        <v>28</v>
      </c>
      <c r="H222" t="s">
        <v>258</v>
      </c>
      <c r="I222">
        <v>6</v>
      </c>
      <c r="J222">
        <v>1</v>
      </c>
      <c r="K222" t="s">
        <v>30</v>
      </c>
      <c r="L222">
        <v>915</v>
      </c>
    </row>
    <row r="223" spans="1:12" x14ac:dyDescent="0.25">
      <c r="A223" s="2">
        <v>46106</v>
      </c>
      <c r="B223" s="2">
        <v>46082</v>
      </c>
      <c r="C223" t="s">
        <v>5</v>
      </c>
      <c r="D223" t="s">
        <v>35</v>
      </c>
      <c r="E223" t="s">
        <v>27</v>
      </c>
      <c r="F223" t="s">
        <v>12</v>
      </c>
      <c r="G223" t="s">
        <v>33</v>
      </c>
      <c r="H223" t="s">
        <v>259</v>
      </c>
      <c r="I223">
        <v>19</v>
      </c>
      <c r="J223">
        <v>0</v>
      </c>
      <c r="K223" t="s">
        <v>30</v>
      </c>
      <c r="L223">
        <v>0</v>
      </c>
    </row>
    <row r="224" spans="1:12" x14ac:dyDescent="0.25">
      <c r="A224" s="2">
        <v>46095</v>
      </c>
      <c r="B224" s="2">
        <v>46082</v>
      </c>
      <c r="C224" t="s">
        <v>6</v>
      </c>
      <c r="D224" t="s">
        <v>31</v>
      </c>
      <c r="E224" t="s">
        <v>27</v>
      </c>
      <c r="F224" t="s">
        <v>10</v>
      </c>
      <c r="G224" t="s">
        <v>33</v>
      </c>
      <c r="H224" t="s">
        <v>260</v>
      </c>
      <c r="I224">
        <v>3</v>
      </c>
      <c r="J224">
        <v>0</v>
      </c>
      <c r="K224" t="s">
        <v>30</v>
      </c>
      <c r="L224">
        <v>0</v>
      </c>
    </row>
    <row r="225" spans="1:12" x14ac:dyDescent="0.25">
      <c r="A225" s="2">
        <v>46107</v>
      </c>
      <c r="B225" s="2">
        <v>46082</v>
      </c>
      <c r="C225" t="s">
        <v>6</v>
      </c>
      <c r="D225" t="s">
        <v>26</v>
      </c>
      <c r="E225" t="s">
        <v>36</v>
      </c>
      <c r="F225" t="s">
        <v>12</v>
      </c>
      <c r="G225" t="s">
        <v>28</v>
      </c>
      <c r="H225" t="s">
        <v>261</v>
      </c>
      <c r="I225">
        <v>15</v>
      </c>
      <c r="J225">
        <v>5</v>
      </c>
      <c r="K225" t="s">
        <v>30</v>
      </c>
      <c r="L225">
        <v>10803</v>
      </c>
    </row>
    <row r="226" spans="1:12" x14ac:dyDescent="0.25">
      <c r="A226" s="2">
        <v>46085</v>
      </c>
      <c r="B226" s="2">
        <v>46082</v>
      </c>
      <c r="C226" t="s">
        <v>5</v>
      </c>
      <c r="D226" t="s">
        <v>26</v>
      </c>
      <c r="E226" t="s">
        <v>27</v>
      </c>
      <c r="F226" t="s">
        <v>12</v>
      </c>
      <c r="G226" t="s">
        <v>33</v>
      </c>
      <c r="H226" t="s">
        <v>262</v>
      </c>
      <c r="I226">
        <v>5</v>
      </c>
      <c r="J226">
        <v>0</v>
      </c>
      <c r="K226" t="s">
        <v>30</v>
      </c>
      <c r="L226">
        <v>0</v>
      </c>
    </row>
    <row r="227" spans="1:12" x14ac:dyDescent="0.25">
      <c r="A227" s="2">
        <v>46099</v>
      </c>
      <c r="B227" s="2">
        <v>46082</v>
      </c>
      <c r="C227" t="s">
        <v>2</v>
      </c>
      <c r="D227" t="s">
        <v>35</v>
      </c>
      <c r="E227" t="s">
        <v>36</v>
      </c>
      <c r="F227" t="s">
        <v>10</v>
      </c>
      <c r="G227" t="s">
        <v>28</v>
      </c>
      <c r="H227" t="s">
        <v>263</v>
      </c>
      <c r="I227">
        <v>22</v>
      </c>
      <c r="J227">
        <v>6</v>
      </c>
      <c r="K227" t="s">
        <v>30</v>
      </c>
      <c r="L227">
        <v>22383</v>
      </c>
    </row>
    <row r="228" spans="1:12" x14ac:dyDescent="0.25">
      <c r="A228" s="2">
        <v>46093</v>
      </c>
      <c r="B228" s="2">
        <v>46082</v>
      </c>
      <c r="C228" t="s">
        <v>5</v>
      </c>
      <c r="D228" t="s">
        <v>26</v>
      </c>
      <c r="E228" t="s">
        <v>36</v>
      </c>
      <c r="F228" t="s">
        <v>12</v>
      </c>
      <c r="G228" t="s">
        <v>41</v>
      </c>
      <c r="H228" t="s">
        <v>264</v>
      </c>
      <c r="I228">
        <v>4</v>
      </c>
      <c r="J228">
        <v>0</v>
      </c>
      <c r="K228" t="s">
        <v>52</v>
      </c>
      <c r="L228">
        <v>0</v>
      </c>
    </row>
    <row r="229" spans="1:12" x14ac:dyDescent="0.25">
      <c r="A229" s="2">
        <v>46098</v>
      </c>
      <c r="B229" s="2">
        <v>46082</v>
      </c>
      <c r="C229" t="s">
        <v>2</v>
      </c>
      <c r="D229" t="s">
        <v>38</v>
      </c>
      <c r="E229" t="s">
        <v>36</v>
      </c>
      <c r="F229" t="s">
        <v>10</v>
      </c>
      <c r="G229" t="s">
        <v>28</v>
      </c>
      <c r="H229" t="s">
        <v>265</v>
      </c>
      <c r="I229">
        <v>11</v>
      </c>
      <c r="J229">
        <v>3</v>
      </c>
      <c r="K229" t="s">
        <v>30</v>
      </c>
      <c r="L229">
        <v>6189</v>
      </c>
    </row>
    <row r="230" spans="1:12" x14ac:dyDescent="0.25">
      <c r="A230" s="2">
        <v>46083</v>
      </c>
      <c r="B230" s="2">
        <v>46082</v>
      </c>
      <c r="C230" t="s">
        <v>2</v>
      </c>
      <c r="D230" t="s">
        <v>35</v>
      </c>
      <c r="E230" t="s">
        <v>27</v>
      </c>
      <c r="F230" t="s">
        <v>12</v>
      </c>
      <c r="G230" t="s">
        <v>33</v>
      </c>
      <c r="H230" t="s">
        <v>266</v>
      </c>
      <c r="I230">
        <v>11</v>
      </c>
      <c r="J230">
        <v>2</v>
      </c>
      <c r="K230" t="s">
        <v>30</v>
      </c>
      <c r="L230">
        <v>2827</v>
      </c>
    </row>
    <row r="231" spans="1:12" x14ac:dyDescent="0.25">
      <c r="A231" s="2">
        <v>46095</v>
      </c>
      <c r="B231" s="2">
        <v>46082</v>
      </c>
      <c r="C231" t="s">
        <v>6</v>
      </c>
      <c r="D231" t="s">
        <v>59</v>
      </c>
      <c r="E231" t="s">
        <v>27</v>
      </c>
      <c r="F231" t="s">
        <v>11</v>
      </c>
      <c r="G231" t="s">
        <v>41</v>
      </c>
      <c r="H231" t="s">
        <v>267</v>
      </c>
      <c r="I231">
        <v>17</v>
      </c>
      <c r="J231">
        <v>3</v>
      </c>
      <c r="K231" t="s">
        <v>30</v>
      </c>
      <c r="L231">
        <v>5992</v>
      </c>
    </row>
    <row r="232" spans="1:12" x14ac:dyDescent="0.25">
      <c r="A232" s="2">
        <v>46098</v>
      </c>
      <c r="B232" s="2">
        <v>46082</v>
      </c>
      <c r="C232" t="s">
        <v>5</v>
      </c>
      <c r="D232" t="s">
        <v>31</v>
      </c>
      <c r="E232" t="s">
        <v>32</v>
      </c>
      <c r="F232" t="s">
        <v>10</v>
      </c>
      <c r="G232" t="s">
        <v>41</v>
      </c>
      <c r="H232" t="s">
        <v>268</v>
      </c>
      <c r="I232">
        <v>11</v>
      </c>
      <c r="J232">
        <v>1</v>
      </c>
      <c r="K232" t="s">
        <v>30</v>
      </c>
      <c r="L232">
        <v>2500</v>
      </c>
    </row>
    <row r="233" spans="1:12" x14ac:dyDescent="0.25">
      <c r="A233" s="2">
        <v>46102</v>
      </c>
      <c r="B233" s="2">
        <v>46082</v>
      </c>
      <c r="C233" t="s">
        <v>5</v>
      </c>
      <c r="D233" t="s">
        <v>38</v>
      </c>
      <c r="E233" t="s">
        <v>36</v>
      </c>
      <c r="F233" t="s">
        <v>10</v>
      </c>
      <c r="G233" t="s">
        <v>33</v>
      </c>
      <c r="H233" t="s">
        <v>269</v>
      </c>
      <c r="I233">
        <v>12</v>
      </c>
      <c r="J233">
        <v>1</v>
      </c>
      <c r="K233" t="s">
        <v>30</v>
      </c>
      <c r="L233">
        <v>1463</v>
      </c>
    </row>
    <row r="234" spans="1:12" x14ac:dyDescent="0.25">
      <c r="A234" s="2">
        <v>46084</v>
      </c>
      <c r="B234" s="2">
        <v>46082</v>
      </c>
      <c r="C234" t="s">
        <v>6</v>
      </c>
      <c r="D234" t="s">
        <v>26</v>
      </c>
      <c r="E234" t="s">
        <v>27</v>
      </c>
      <c r="F234" t="s">
        <v>11</v>
      </c>
      <c r="G234" t="s">
        <v>33</v>
      </c>
      <c r="H234" t="s">
        <v>270</v>
      </c>
      <c r="I234">
        <v>15</v>
      </c>
      <c r="J234">
        <v>1</v>
      </c>
      <c r="K234" t="s">
        <v>30</v>
      </c>
      <c r="L234">
        <v>1255</v>
      </c>
    </row>
    <row r="235" spans="1:12" x14ac:dyDescent="0.25">
      <c r="A235" s="2">
        <v>46086</v>
      </c>
      <c r="B235" s="2">
        <v>46082</v>
      </c>
      <c r="C235" t="s">
        <v>6</v>
      </c>
      <c r="D235" t="s">
        <v>31</v>
      </c>
      <c r="E235" t="s">
        <v>32</v>
      </c>
      <c r="F235" t="s">
        <v>10</v>
      </c>
      <c r="G235" t="s">
        <v>33</v>
      </c>
      <c r="H235" t="s">
        <v>271</v>
      </c>
      <c r="I235">
        <v>12</v>
      </c>
      <c r="J235">
        <v>2</v>
      </c>
      <c r="K235" t="s">
        <v>30</v>
      </c>
      <c r="L235">
        <v>7481</v>
      </c>
    </row>
    <row r="236" spans="1:12" x14ac:dyDescent="0.25">
      <c r="A236" s="2">
        <v>46083</v>
      </c>
      <c r="B236" s="2">
        <v>46082</v>
      </c>
      <c r="C236" t="s">
        <v>5</v>
      </c>
      <c r="D236" t="s">
        <v>59</v>
      </c>
      <c r="E236" t="s">
        <v>36</v>
      </c>
      <c r="F236" t="s">
        <v>12</v>
      </c>
      <c r="G236" t="s">
        <v>33</v>
      </c>
      <c r="H236" t="s">
        <v>272</v>
      </c>
      <c r="I236">
        <v>15</v>
      </c>
      <c r="J236">
        <v>5</v>
      </c>
      <c r="K236" t="s">
        <v>30</v>
      </c>
      <c r="L236">
        <v>7167</v>
      </c>
    </row>
    <row r="237" spans="1:12" x14ac:dyDescent="0.25">
      <c r="A237" s="2">
        <v>46109</v>
      </c>
      <c r="B237" s="2">
        <v>46082</v>
      </c>
      <c r="C237" t="s">
        <v>2</v>
      </c>
      <c r="D237" t="s">
        <v>35</v>
      </c>
      <c r="E237" t="s">
        <v>32</v>
      </c>
      <c r="F237" t="s">
        <v>12</v>
      </c>
      <c r="G237" t="s">
        <v>28</v>
      </c>
      <c r="H237" t="s">
        <v>273</v>
      </c>
      <c r="I237">
        <v>20</v>
      </c>
      <c r="J237">
        <v>6</v>
      </c>
      <c r="K237" t="s">
        <v>30</v>
      </c>
      <c r="L237">
        <v>7540</v>
      </c>
    </row>
    <row r="238" spans="1:12" x14ac:dyDescent="0.25">
      <c r="A238" s="2">
        <v>46107</v>
      </c>
      <c r="B238" s="2">
        <v>46082</v>
      </c>
      <c r="C238" t="s">
        <v>6</v>
      </c>
      <c r="D238" t="s">
        <v>26</v>
      </c>
      <c r="E238" t="s">
        <v>27</v>
      </c>
      <c r="F238" t="s">
        <v>11</v>
      </c>
      <c r="G238" t="s">
        <v>28</v>
      </c>
      <c r="H238" t="s">
        <v>274</v>
      </c>
      <c r="I238">
        <v>18</v>
      </c>
      <c r="J238">
        <v>1</v>
      </c>
      <c r="K238" t="s">
        <v>30</v>
      </c>
      <c r="L238">
        <v>1922</v>
      </c>
    </row>
    <row r="239" spans="1:12" x14ac:dyDescent="0.25">
      <c r="A239" s="2">
        <v>46101</v>
      </c>
      <c r="B239" s="2">
        <v>46082</v>
      </c>
      <c r="C239" t="s">
        <v>6</v>
      </c>
      <c r="D239" t="s">
        <v>45</v>
      </c>
      <c r="E239" t="s">
        <v>36</v>
      </c>
      <c r="F239" t="s">
        <v>11</v>
      </c>
      <c r="G239" t="s">
        <v>41</v>
      </c>
      <c r="H239" t="s">
        <v>275</v>
      </c>
      <c r="I239">
        <v>15</v>
      </c>
      <c r="J239">
        <v>5</v>
      </c>
      <c r="K239" t="s">
        <v>30</v>
      </c>
      <c r="L239">
        <v>6470</v>
      </c>
    </row>
    <row r="240" spans="1:12" x14ac:dyDescent="0.25">
      <c r="A240" s="2">
        <v>46090</v>
      </c>
      <c r="B240" s="2">
        <v>46082</v>
      </c>
      <c r="C240" t="s">
        <v>2</v>
      </c>
      <c r="D240" t="s">
        <v>31</v>
      </c>
      <c r="E240" t="s">
        <v>32</v>
      </c>
      <c r="F240" t="s">
        <v>12</v>
      </c>
      <c r="G240" t="s">
        <v>28</v>
      </c>
      <c r="H240" t="s">
        <v>276</v>
      </c>
      <c r="I240">
        <v>17</v>
      </c>
      <c r="J240">
        <v>4</v>
      </c>
      <c r="K240" t="s">
        <v>30</v>
      </c>
      <c r="L240">
        <v>8933</v>
      </c>
    </row>
    <row r="241" spans="1:12" x14ac:dyDescent="0.25">
      <c r="A241" s="2">
        <v>46108</v>
      </c>
      <c r="B241" s="2">
        <v>46082</v>
      </c>
      <c r="C241" t="s">
        <v>6</v>
      </c>
      <c r="D241" t="s">
        <v>31</v>
      </c>
      <c r="E241" t="s">
        <v>36</v>
      </c>
      <c r="F241" t="s">
        <v>10</v>
      </c>
      <c r="G241" t="s">
        <v>41</v>
      </c>
      <c r="H241" t="s">
        <v>277</v>
      </c>
      <c r="I241">
        <v>15</v>
      </c>
      <c r="J241">
        <v>1</v>
      </c>
      <c r="K241" t="s">
        <v>30</v>
      </c>
      <c r="L241">
        <v>2479</v>
      </c>
    </row>
    <row r="242" spans="1:12" x14ac:dyDescent="0.25">
      <c r="A242" s="2">
        <v>46102</v>
      </c>
      <c r="B242" s="2">
        <v>46082</v>
      </c>
      <c r="C242" t="s">
        <v>5</v>
      </c>
      <c r="D242" t="s">
        <v>45</v>
      </c>
      <c r="E242" t="s">
        <v>36</v>
      </c>
      <c r="F242" t="s">
        <v>11</v>
      </c>
      <c r="G242" t="s">
        <v>28</v>
      </c>
      <c r="H242" t="s">
        <v>278</v>
      </c>
      <c r="I242">
        <v>6</v>
      </c>
      <c r="J242">
        <v>0</v>
      </c>
      <c r="K242" t="s">
        <v>52</v>
      </c>
      <c r="L242">
        <v>0</v>
      </c>
    </row>
    <row r="243" spans="1:12" x14ac:dyDescent="0.25">
      <c r="A243" s="2">
        <v>46097</v>
      </c>
      <c r="B243" s="2">
        <v>46082</v>
      </c>
      <c r="C243" t="s">
        <v>6</v>
      </c>
      <c r="D243" t="s">
        <v>26</v>
      </c>
      <c r="E243" t="s">
        <v>27</v>
      </c>
      <c r="F243" t="s">
        <v>12</v>
      </c>
      <c r="G243" t="s">
        <v>33</v>
      </c>
      <c r="H243" t="s">
        <v>279</v>
      </c>
      <c r="I243">
        <v>21</v>
      </c>
      <c r="J243">
        <v>4</v>
      </c>
      <c r="K243" t="s">
        <v>30</v>
      </c>
      <c r="L243">
        <v>9993</v>
      </c>
    </row>
    <row r="244" spans="1:12" x14ac:dyDescent="0.25">
      <c r="A244" s="2">
        <v>46107</v>
      </c>
      <c r="B244" s="2">
        <v>46082</v>
      </c>
      <c r="C244" t="s">
        <v>6</v>
      </c>
      <c r="D244" t="s">
        <v>26</v>
      </c>
      <c r="E244" t="s">
        <v>36</v>
      </c>
      <c r="F244" t="s">
        <v>11</v>
      </c>
      <c r="G244" t="s">
        <v>33</v>
      </c>
      <c r="H244" t="s">
        <v>280</v>
      </c>
      <c r="I244">
        <v>22</v>
      </c>
      <c r="J244">
        <v>5</v>
      </c>
      <c r="K244" t="s">
        <v>30</v>
      </c>
      <c r="L244">
        <v>9754</v>
      </c>
    </row>
    <row r="245" spans="1:12" x14ac:dyDescent="0.25">
      <c r="A245" s="2">
        <v>46101</v>
      </c>
      <c r="B245" s="2">
        <v>46082</v>
      </c>
      <c r="C245" t="s">
        <v>2</v>
      </c>
      <c r="D245" t="s">
        <v>59</v>
      </c>
      <c r="E245" t="s">
        <v>32</v>
      </c>
      <c r="F245" t="s">
        <v>10</v>
      </c>
      <c r="G245" t="s">
        <v>28</v>
      </c>
      <c r="H245" t="s">
        <v>281</v>
      </c>
      <c r="I245">
        <v>6</v>
      </c>
      <c r="J245">
        <v>0</v>
      </c>
      <c r="K245" t="s">
        <v>30</v>
      </c>
      <c r="L245">
        <v>0</v>
      </c>
    </row>
    <row r="246" spans="1:12" x14ac:dyDescent="0.25">
      <c r="A246" s="2">
        <v>46095</v>
      </c>
      <c r="B246" s="2">
        <v>46082</v>
      </c>
      <c r="C246" t="s">
        <v>2</v>
      </c>
      <c r="D246" t="s">
        <v>38</v>
      </c>
      <c r="E246" t="s">
        <v>27</v>
      </c>
      <c r="F246" t="s">
        <v>12</v>
      </c>
      <c r="G246" t="s">
        <v>33</v>
      </c>
      <c r="H246" t="s">
        <v>282</v>
      </c>
      <c r="I246">
        <v>19</v>
      </c>
      <c r="J246">
        <v>3</v>
      </c>
      <c r="K246" t="s">
        <v>30</v>
      </c>
      <c r="L246">
        <v>8730</v>
      </c>
    </row>
    <row r="247" spans="1:12" x14ac:dyDescent="0.25">
      <c r="A247" s="2">
        <v>46096</v>
      </c>
      <c r="B247" s="2">
        <v>46082</v>
      </c>
      <c r="C247" t="s">
        <v>6</v>
      </c>
      <c r="D247" t="s">
        <v>31</v>
      </c>
      <c r="E247" t="s">
        <v>32</v>
      </c>
      <c r="F247" t="s">
        <v>12</v>
      </c>
      <c r="G247" t="s">
        <v>28</v>
      </c>
      <c r="H247" t="s">
        <v>251</v>
      </c>
      <c r="I247">
        <v>21</v>
      </c>
      <c r="J247">
        <v>7</v>
      </c>
      <c r="K247" t="s">
        <v>30</v>
      </c>
      <c r="L247">
        <v>19148</v>
      </c>
    </row>
    <row r="248" spans="1:12" x14ac:dyDescent="0.25">
      <c r="A248" s="2">
        <v>46085</v>
      </c>
      <c r="B248" s="2">
        <v>46082</v>
      </c>
      <c r="C248" t="s">
        <v>2</v>
      </c>
      <c r="D248" t="s">
        <v>31</v>
      </c>
      <c r="E248" t="s">
        <v>36</v>
      </c>
      <c r="F248" t="s">
        <v>12</v>
      </c>
      <c r="G248" t="s">
        <v>28</v>
      </c>
      <c r="H248" t="s">
        <v>283</v>
      </c>
      <c r="I248">
        <v>6</v>
      </c>
      <c r="J248">
        <v>0</v>
      </c>
      <c r="K248" t="s">
        <v>52</v>
      </c>
      <c r="L248">
        <v>0</v>
      </c>
    </row>
    <row r="249" spans="1:12" x14ac:dyDescent="0.25">
      <c r="A249" s="2">
        <v>46098</v>
      </c>
      <c r="B249" s="2">
        <v>46082</v>
      </c>
      <c r="C249" t="s">
        <v>5</v>
      </c>
      <c r="D249" t="s">
        <v>31</v>
      </c>
      <c r="E249" t="s">
        <v>27</v>
      </c>
      <c r="F249" t="s">
        <v>10</v>
      </c>
      <c r="G249" t="s">
        <v>41</v>
      </c>
      <c r="H249" t="s">
        <v>284</v>
      </c>
      <c r="I249">
        <v>12</v>
      </c>
      <c r="J249">
        <v>2</v>
      </c>
      <c r="K249" t="s">
        <v>30</v>
      </c>
      <c r="L249">
        <v>2497</v>
      </c>
    </row>
    <row r="250" spans="1:12" x14ac:dyDescent="0.25">
      <c r="A250" s="2">
        <v>46082</v>
      </c>
      <c r="B250" s="2">
        <v>46082</v>
      </c>
      <c r="C250" t="s">
        <v>2</v>
      </c>
      <c r="D250" t="s">
        <v>35</v>
      </c>
      <c r="E250" t="s">
        <v>36</v>
      </c>
      <c r="F250" t="s">
        <v>10</v>
      </c>
      <c r="G250" t="s">
        <v>41</v>
      </c>
      <c r="H250" t="s">
        <v>285</v>
      </c>
      <c r="I250">
        <v>13</v>
      </c>
      <c r="J250">
        <v>2</v>
      </c>
      <c r="K250" t="s">
        <v>30</v>
      </c>
      <c r="L250">
        <v>2058</v>
      </c>
    </row>
    <row r="251" spans="1:12" x14ac:dyDescent="0.25">
      <c r="A251" s="2">
        <v>46107</v>
      </c>
      <c r="B251" s="2">
        <v>46082</v>
      </c>
      <c r="C251" t="s">
        <v>2</v>
      </c>
      <c r="D251" t="s">
        <v>26</v>
      </c>
      <c r="E251" t="s">
        <v>32</v>
      </c>
      <c r="F251" t="s">
        <v>12</v>
      </c>
      <c r="G251" t="s">
        <v>33</v>
      </c>
      <c r="H251" t="s">
        <v>286</v>
      </c>
      <c r="I251">
        <v>4</v>
      </c>
      <c r="J251">
        <v>0</v>
      </c>
      <c r="K251" t="s">
        <v>30</v>
      </c>
      <c r="L251">
        <v>0</v>
      </c>
    </row>
    <row r="252" spans="1:12" x14ac:dyDescent="0.25">
      <c r="A252" s="2">
        <v>46099</v>
      </c>
      <c r="B252" s="2">
        <v>46082</v>
      </c>
      <c r="C252" t="s">
        <v>5</v>
      </c>
      <c r="D252" t="s">
        <v>26</v>
      </c>
      <c r="E252" t="s">
        <v>27</v>
      </c>
      <c r="F252" t="s">
        <v>12</v>
      </c>
      <c r="G252" t="s">
        <v>41</v>
      </c>
      <c r="H252" t="s">
        <v>287</v>
      </c>
      <c r="I252">
        <v>12</v>
      </c>
      <c r="J252">
        <v>1</v>
      </c>
      <c r="K252" t="s">
        <v>30</v>
      </c>
      <c r="L252">
        <v>1387</v>
      </c>
    </row>
    <row r="253" spans="1:12" x14ac:dyDescent="0.25">
      <c r="A253" s="2">
        <v>46096</v>
      </c>
      <c r="B253" s="2">
        <v>46082</v>
      </c>
      <c r="C253" t="s">
        <v>2</v>
      </c>
      <c r="D253" t="s">
        <v>26</v>
      </c>
      <c r="E253" t="s">
        <v>36</v>
      </c>
      <c r="F253" t="s">
        <v>10</v>
      </c>
      <c r="G253" t="s">
        <v>33</v>
      </c>
      <c r="H253" t="s">
        <v>288</v>
      </c>
      <c r="I253">
        <v>15</v>
      </c>
      <c r="J253">
        <v>1</v>
      </c>
      <c r="K253" t="s">
        <v>30</v>
      </c>
      <c r="L253">
        <v>1753</v>
      </c>
    </row>
    <row r="254" spans="1:12" x14ac:dyDescent="0.25">
      <c r="A254" s="2">
        <v>46108</v>
      </c>
      <c r="B254" s="2">
        <v>46082</v>
      </c>
      <c r="C254" t="s">
        <v>2</v>
      </c>
      <c r="D254" t="s">
        <v>59</v>
      </c>
      <c r="E254" t="s">
        <v>27</v>
      </c>
      <c r="F254" t="s">
        <v>12</v>
      </c>
      <c r="G254" t="s">
        <v>33</v>
      </c>
      <c r="H254" t="s">
        <v>289</v>
      </c>
      <c r="I254">
        <v>13</v>
      </c>
      <c r="J254">
        <v>3</v>
      </c>
      <c r="K254" t="s">
        <v>30</v>
      </c>
      <c r="L254">
        <v>10416</v>
      </c>
    </row>
    <row r="255" spans="1:12" x14ac:dyDescent="0.25">
      <c r="A255" s="2">
        <v>46108</v>
      </c>
      <c r="B255" s="2">
        <v>46082</v>
      </c>
      <c r="C255" t="s">
        <v>5</v>
      </c>
      <c r="D255" t="s">
        <v>26</v>
      </c>
      <c r="E255" t="s">
        <v>27</v>
      </c>
      <c r="F255" t="s">
        <v>12</v>
      </c>
      <c r="G255" t="s">
        <v>33</v>
      </c>
      <c r="H255" t="s">
        <v>290</v>
      </c>
      <c r="I255">
        <v>10</v>
      </c>
      <c r="J255">
        <v>1</v>
      </c>
      <c r="K255" t="s">
        <v>30</v>
      </c>
      <c r="L255">
        <v>2028</v>
      </c>
    </row>
    <row r="256" spans="1:12" x14ac:dyDescent="0.25">
      <c r="A256" s="2">
        <v>46103</v>
      </c>
      <c r="B256" s="2">
        <v>46082</v>
      </c>
      <c r="C256" t="s">
        <v>2</v>
      </c>
      <c r="D256" t="s">
        <v>31</v>
      </c>
      <c r="E256" t="s">
        <v>36</v>
      </c>
      <c r="F256" t="s">
        <v>12</v>
      </c>
      <c r="G256" t="s">
        <v>28</v>
      </c>
      <c r="H256" t="s">
        <v>291</v>
      </c>
      <c r="I256">
        <v>12</v>
      </c>
      <c r="J256">
        <v>4</v>
      </c>
      <c r="K256" t="s">
        <v>30</v>
      </c>
      <c r="L256">
        <v>7167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E528-6D83-4DEA-B846-5431C730F653}">
  <dimension ref="A1:E7"/>
  <sheetViews>
    <sheetView topLeftCell="A4" workbookViewId="0">
      <selection activeCell="N13" sqref="N13"/>
    </sheetView>
  </sheetViews>
  <sheetFormatPr defaultRowHeight="15" x14ac:dyDescent="0.25"/>
  <cols>
    <col min="1" max="1" width="25.85546875" customWidth="1"/>
    <col min="2" max="2" width="30.42578125" customWidth="1"/>
    <col min="4" max="4" width="12" customWidth="1"/>
    <col min="5" max="5" width="13.5703125" customWidth="1"/>
  </cols>
  <sheetData>
    <row r="1" spans="1:5" x14ac:dyDescent="0.25">
      <c r="A1" s="1" t="s">
        <v>0</v>
      </c>
      <c r="B1" s="1" t="s">
        <v>1</v>
      </c>
      <c r="D1" t="s">
        <v>8</v>
      </c>
      <c r="E1" t="s">
        <v>9</v>
      </c>
    </row>
    <row r="2" spans="1:5" x14ac:dyDescent="0.25">
      <c r="A2" t="s">
        <v>2</v>
      </c>
      <c r="B2" t="s">
        <v>2</v>
      </c>
      <c r="D2" t="s">
        <v>10</v>
      </c>
      <c r="E2" t="s">
        <v>10</v>
      </c>
    </row>
    <row r="3" spans="1:5" x14ac:dyDescent="0.25">
      <c r="A3" t="s">
        <v>3</v>
      </c>
      <c r="B3" t="s">
        <v>5</v>
      </c>
      <c r="D3" t="s">
        <v>11</v>
      </c>
      <c r="E3" t="s">
        <v>11</v>
      </c>
    </row>
    <row r="4" spans="1:5" x14ac:dyDescent="0.25">
      <c r="A4" t="s">
        <v>4</v>
      </c>
      <c r="B4" t="s">
        <v>5</v>
      </c>
      <c r="D4" t="s">
        <v>12</v>
      </c>
      <c r="E4" t="s">
        <v>12</v>
      </c>
    </row>
    <row r="5" spans="1:5" x14ac:dyDescent="0.25">
      <c r="A5" t="s">
        <v>5</v>
      </c>
      <c r="B5" t="s">
        <v>5</v>
      </c>
      <c r="D5" t="s">
        <v>13</v>
      </c>
      <c r="E5" t="s">
        <v>12</v>
      </c>
    </row>
    <row r="6" spans="1:5" x14ac:dyDescent="0.25">
      <c r="A6" t="s">
        <v>6</v>
      </c>
      <c r="B6" t="s">
        <v>6</v>
      </c>
    </row>
    <row r="7" spans="1:5" x14ac:dyDescent="0.25">
      <c r="A7" t="s">
        <v>7</v>
      </c>
      <c r="B7" t="s">
        <v>6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6C0082-7181-41B8-85FB-503A21BDE3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Summary</vt:lpstr>
      <vt:lpstr>Clean_Data</vt:lpstr>
      <vt:lpstr>Mapping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Sudhansu Kumar Biswal</dc:creator>
  <cp:lastModifiedBy>Sudhansu Kumar Biswal</cp:lastModifiedBy>
  <cp:lastPrinted>2026-08-29T20:47:02Z</cp:lastPrinted>
  <dcterms:created xsi:type="dcterms:W3CDTF">2026-08-29T05:12:29Z</dcterms:created>
  <dcterms:modified xsi:type="dcterms:W3CDTF">2026-09-08T13:28:56Z</dcterms:modified>
</cp:coreProperties>
</file>